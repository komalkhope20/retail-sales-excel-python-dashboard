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8_{F35349D8-B141-42CD-84B9-065466152F79}" xr6:coauthVersionLast="47" xr6:coauthVersionMax="47" xr10:uidLastSave="{00000000-0000-0000-0000-000000000000}"/>
  <bookViews>
    <workbookView xWindow="-120" yWindow="-120" windowWidth="20730" windowHeight="11040" firstSheet="1" activeTab="2" xr2:uid="{ECDD1389-4BDA-4263-8C22-E638434461A1}"/>
  </bookViews>
  <sheets>
    <sheet name="Revenue by month" sheetId="4" r:id="rId1"/>
    <sheet name="Units sold by category" sheetId="9" r:id="rId2"/>
    <sheet name="Sheet11" sheetId="12" r:id="rId3"/>
    <sheet name="Revenue by gender" sheetId="13" r:id="rId4"/>
    <sheet name="Sheet15" sheetId="16" state="hidden" r:id="rId5"/>
    <sheet name="Sheet1" sheetId="17" r:id="rId6"/>
    <sheet name="Cleaned_sales" sheetId="1" r:id="rId7"/>
    <sheet name="Dashboard" sheetId="11" r:id="rId8"/>
    <sheet name="Metrices" sheetId="2" r:id="rId9"/>
  </sheets>
  <definedNames>
    <definedName name="Slicer_gender">#N/A</definedName>
    <definedName name="Slicer_product_category1">#N/A</definedName>
  </definedNames>
  <calcPr calcId="191029"/>
  <pivotCaches>
    <pivotCache cacheId="9" r:id="rId10"/>
  </pivotCaches>
  <fileRecoveryPr repairLoad="1"/>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2" l="1"/>
  <c r="D4"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M5" i="2"/>
  <c r="M6" i="2"/>
  <c r="M4" i="2"/>
  <c r="L4" i="2" a="1"/>
  <c r="L4" i="2" s="1"/>
  <c r="I5" i="2"/>
  <c r="I4" i="2"/>
  <c r="H4" i="2" a="1"/>
  <c r="H4" i="2" s="1"/>
  <c r="D7" i="2"/>
  <c r="D8" i="2"/>
  <c r="D3" i="2"/>
  <c r="D5"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<sst xmlns="http://schemas.openxmlformats.org/spreadsheetml/2006/main" count="5070" uniqueCount="1057">
  <si>
    <t>date</t>
  </si>
  <si>
    <t>customer_id</t>
  </si>
  <si>
    <t>gender</t>
  </si>
  <si>
    <t>age</t>
  </si>
  <si>
    <t>product_category</t>
  </si>
  <si>
    <t>quantity</t>
  </si>
  <si>
    <t>price_per_unit</t>
  </si>
  <si>
    <t>total_amount</t>
  </si>
  <si>
    <t>month</t>
  </si>
  <si>
    <t>days</t>
  </si>
  <si>
    <t>CUST001</t>
  </si>
  <si>
    <t>Male</t>
  </si>
  <si>
    <t>Beauty</t>
  </si>
  <si>
    <t>Nov</t>
  </si>
  <si>
    <t>Fri</t>
  </si>
  <si>
    <t>CUST002</t>
  </si>
  <si>
    <t>Female</t>
  </si>
  <si>
    <t>Clothing</t>
  </si>
  <si>
    <t>Feb</t>
  </si>
  <si>
    <t>Mon</t>
  </si>
  <si>
    <t>CUST003</t>
  </si>
  <si>
    <t>Electronics</t>
  </si>
  <si>
    <t>Jan</t>
  </si>
  <si>
    <t>CUST004</t>
  </si>
  <si>
    <t>May</t>
  </si>
  <si>
    <t>Sun</t>
  </si>
  <si>
    <t>CUST005</t>
  </si>
  <si>
    <t>Sat</t>
  </si>
  <si>
    <t>CUST006</t>
  </si>
  <si>
    <t>Apr</t>
  </si>
  <si>
    <t>Tue</t>
  </si>
  <si>
    <t>CUST007</t>
  </si>
  <si>
    <t>Mar</t>
  </si>
  <si>
    <t>CUST008</t>
  </si>
  <si>
    <t>Wed</t>
  </si>
  <si>
    <t>CUST009</t>
  </si>
  <si>
    <t>Dec</t>
  </si>
  <si>
    <t>CUST010</t>
  </si>
  <si>
    <t>Oct</t>
  </si>
  <si>
    <t>CUST011</t>
  </si>
  <si>
    <t>CUST012</t>
  </si>
  <si>
    <t>CUST013</t>
  </si>
  <si>
    <t>Aug</t>
  </si>
  <si>
    <t>CUST014</t>
  </si>
  <si>
    <t>CUST015</t>
  </si>
  <si>
    <t>CUST016</t>
  </si>
  <si>
    <t>CUST017</t>
  </si>
  <si>
    <t>CUST018</t>
  </si>
  <si>
    <t>CUST019</t>
  </si>
  <si>
    <t>Sep</t>
  </si>
  <si>
    <t>CUST020</t>
  </si>
  <si>
    <t>CUST021</t>
  </si>
  <si>
    <t>CUST022</t>
  </si>
  <si>
    <t>CUST023</t>
  </si>
  <si>
    <t>CUST024</t>
  </si>
  <si>
    <t>CUST025</t>
  </si>
  <si>
    <t>CUST026</t>
  </si>
  <si>
    <t>CUST027</t>
  </si>
  <si>
    <t>Thu</t>
  </si>
  <si>
    <t>CUST028</t>
  </si>
  <si>
    <t>CUST029</t>
  </si>
  <si>
    <t>CUST030</t>
  </si>
  <si>
    <t>CUST031</t>
  </si>
  <si>
    <t>CUST032</t>
  </si>
  <si>
    <t>CUST033</t>
  </si>
  <si>
    <t>CUST034</t>
  </si>
  <si>
    <t>CUST035</t>
  </si>
  <si>
    <t>CUST036</t>
  </si>
  <si>
    <t>Jun</t>
  </si>
  <si>
    <t>CUST037</t>
  </si>
  <si>
    <t>CUST038</t>
  </si>
  <si>
    <t>CUST039</t>
  </si>
  <si>
    <t>CUST040</t>
  </si>
  <si>
    <t>CUST041</t>
  </si>
  <si>
    <t>CUST042</t>
  </si>
  <si>
    <t>CUST043</t>
  </si>
  <si>
    <t>Jul</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</si>
  <si>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</si>
  <si>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</si>
  <si>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</si>
  <si>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</si>
  <si>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</si>
  <si>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</si>
  <si>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</si>
  <si>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</si>
  <si>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</si>
  <si>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</si>
  <si>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</si>
  <si>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</si>
  <si>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</si>
  <si>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</si>
  <si>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</si>
  <si>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</si>
  <si>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</si>
  <si>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</si>
  <si>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</si>
  <si>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</si>
  <si>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</si>
  <si>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</si>
  <si>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</si>
  <si>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</si>
  <si>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</si>
  <si>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</si>
  <si>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</si>
  <si>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</si>
  <si>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</si>
  <si>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</si>
  <si>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</si>
  <si>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</si>
  <si>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</si>
  <si>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</si>
  <si>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</si>
  <si>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</si>
  <si>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</si>
  <si>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</si>
  <si>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</si>
  <si>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</si>
  <si>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</si>
  <si>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</si>
  <si>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</si>
  <si>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</si>
  <si>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</si>
  <si>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</si>
  <si>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</si>
  <si>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</si>
  <si>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</si>
  <si>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</si>
  <si>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</si>
  <si>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</si>
  <si>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</si>
  <si>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</si>
  <si>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</si>
  <si>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</si>
  <si>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</si>
  <si>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</si>
  <si>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</si>
  <si>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</si>
  <si>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</si>
  <si>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</si>
  <si>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</si>
  <si>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</si>
  <si>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</si>
  <si>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</si>
  <si>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</si>
  <si>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</si>
  <si>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</si>
  <si>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</si>
  <si>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</si>
  <si>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</si>
  <si>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</si>
  <si>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</si>
  <si>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</si>
  <si>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</si>
  <si>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</si>
  <si>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</si>
  <si>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</si>
  <si>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</si>
  <si>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</si>
  <si>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</si>
  <si>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</si>
  <si>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</si>
  <si>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</si>
  <si>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</si>
  <si>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</si>
  <si>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</si>
  <si>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</si>
  <si>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</si>
  <si>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</si>
  <si>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</si>
  <si>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</si>
  <si>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</si>
  <si>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</si>
  <si>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</si>
  <si>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</si>
  <si>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</si>
  <si>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</si>
  <si>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</si>
  <si>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</si>
  <si>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</si>
  <si>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</si>
  <si>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</si>
  <si>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</si>
  <si>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</si>
  <si>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</si>
  <si>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</si>
  <si>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</si>
  <si>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</si>
  <si>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</si>
  <si>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</si>
  <si>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</si>
  <si>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</si>
  <si>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</si>
  <si>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</si>
  <si>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</si>
  <si>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</si>
  <si>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</si>
  <si>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</si>
  <si>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</si>
  <si>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</si>
  <si>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</si>
  <si>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</si>
  <si>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</si>
  <si>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</si>
  <si>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</si>
  <si>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</si>
  <si>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</si>
  <si>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</si>
  <si>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</si>
  <si>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</si>
  <si>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</si>
  <si>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</si>
  <si>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</si>
  <si>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</si>
  <si>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</si>
  <si>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</si>
  <si>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</si>
  <si>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</si>
  <si>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</si>
  <si>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</si>
  <si>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</si>
  <si>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</si>
  <si>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</si>
  <si>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</si>
  <si>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</si>
  <si>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</si>
  <si>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</si>
  <si>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</si>
  <si>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</si>
  <si>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</si>
  <si>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</si>
  <si>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</si>
  <si>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</si>
  <si>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</si>
  <si>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</si>
  <si>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</si>
  <si>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</si>
  <si>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</si>
  <si>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</si>
  <si>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</si>
  <si>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</si>
  <si>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</si>
  <si>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</si>
  <si>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</si>
  <si>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</si>
  <si>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</si>
  <si>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</si>
  <si>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</si>
  <si>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</si>
  <si>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</si>
  <si>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</si>
  <si>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</si>
  <si>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</si>
  <si>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</si>
  <si>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</si>
  <si>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</si>
  <si>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</si>
  <si>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</si>
  <si>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</si>
  <si>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</si>
  <si>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</si>
  <si>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</si>
  <si>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</si>
  <si>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</si>
  <si>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</si>
  <si>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</si>
  <si>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</si>
  <si>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</si>
  <si>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</si>
  <si>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</si>
  <si>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</si>
  <si>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</si>
  <si>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</si>
  <si>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</si>
  <si>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</si>
  <si>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</si>
  <si>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</si>
  <si>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</si>
  <si>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</si>
  <si>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</si>
  <si>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</si>
  <si>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</si>
  <si>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</si>
  <si>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</si>
  <si>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</si>
  <si>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</si>
  <si>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</si>
  <si>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</si>
  <si>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</si>
  <si>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</si>
  <si>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</si>
  <si>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</si>
  <si>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</si>
  <si>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</si>
  <si>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</si>
  <si>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</si>
  <si>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</si>
  <si>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</si>
  <si>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</si>
  <si>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</si>
  <si>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</si>
  <si>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</si>
  <si>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</si>
  <si>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</si>
  <si>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</si>
  <si>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</si>
  <si>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</si>
  <si>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</si>
  <si>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</si>
  <si>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</si>
  <si>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</si>
  <si>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</si>
  <si>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</si>
  <si>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</si>
  <si>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</si>
  <si>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</si>
  <si>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</si>
  <si>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</si>
  <si>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</si>
  <si>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</si>
  <si>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</si>
  <si>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</si>
  <si>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</si>
  <si>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</si>
  <si>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</si>
  <si>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</si>
  <si>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</si>
  <si>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</si>
  <si>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</si>
  <si>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</si>
  <si>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</si>
  <si>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</si>
  <si>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</si>
  <si>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</si>
  <si>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</si>
  <si>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</si>
  <si>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</si>
  <si>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</si>
  <si>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</si>
  <si>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</si>
  <si>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</si>
  <si>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</si>
  <si>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</si>
  <si>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</si>
  <si>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</si>
  <si>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</si>
  <si>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</si>
  <si>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</si>
  <si>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</si>
  <si>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</si>
  <si>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</si>
  <si>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</si>
  <si>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</si>
  <si>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</si>
  <si>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</si>
  <si>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</si>
  <si>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</si>
  <si>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</si>
  <si>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</si>
  <si>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</si>
  <si>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</si>
  <si>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</si>
  <si>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</si>
  <si>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</si>
  <si>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</si>
  <si>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</si>
  <si>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</si>
  <si>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</si>
  <si>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</si>
  <si>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</si>
  <si>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</si>
  <si>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</si>
  <si>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</si>
  <si>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</si>
  <si>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</si>
  <si>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</si>
  <si>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</si>
  <si>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</si>
  <si>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</si>
  <si>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</si>
  <si>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</si>
  <si>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</si>
  <si>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</si>
  <si>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</si>
  <si>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</si>
  <si>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</si>
  <si>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</si>
  <si>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</si>
  <si>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</si>
  <si>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</si>
  <si>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</si>
  <si>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</si>
  <si>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</si>
  <si>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</si>
  <si>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</si>
  <si>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</si>
  <si>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</si>
  <si>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</si>
  <si>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</si>
  <si>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</si>
  <si>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</si>
  <si>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</si>
  <si>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</si>
  <si>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</si>
  <si>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</si>
  <si>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</si>
  <si>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</si>
  <si>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</si>
  <si>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</si>
  <si>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</si>
  <si>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</si>
  <si>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</si>
  <si>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</si>
  <si>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</si>
  <si>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</si>
  <si>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</si>
  <si>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</si>
  <si>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</si>
  <si>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</si>
  <si>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</si>
  <si>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</si>
  <si>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</si>
  <si>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</si>
  <si>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</si>
  <si>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</si>
  <si>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</si>
  <si>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</si>
  <si>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</si>
  <si>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</si>
  <si>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</si>
  <si>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</si>
  <si>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</si>
  <si>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</si>
  <si>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</si>
  <si>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</si>
  <si>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</si>
  <si>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</si>
  <si>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</si>
  <si>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</si>
  <si>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</si>
  <si>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</si>
  <si>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</si>
  <si>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</si>
  <si>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</si>
  <si>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</si>
  <si>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</si>
  <si>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</si>
  <si>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</si>
  <si>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</si>
  <si>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</si>
  <si>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</si>
  <si>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</si>
  <si>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</si>
  <si>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</si>
  <si>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</si>
  <si>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</si>
  <si>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</si>
  <si>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</si>
  <si>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</si>
  <si>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</si>
  <si>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</si>
  <si>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</si>
  <si>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</si>
  <si>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</si>
  <si>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</si>
  <si>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</si>
  <si>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</si>
  <si>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</si>
  <si>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</si>
  <si>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</si>
  <si>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</si>
  <si>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</si>
  <si>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</si>
  <si>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</si>
  <si>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</si>
  <si>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</si>
  <si>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</si>
  <si>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</si>
  <si>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</si>
  <si>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</si>
  <si>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</si>
  <si>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</si>
  <si>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</si>
  <si>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</si>
  <si>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</si>
  <si>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</si>
  <si>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</si>
  <si>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</si>
  <si>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</si>
  <si>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</si>
  <si>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</si>
  <si>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</si>
  <si>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</si>
  <si>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</si>
  <si>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</si>
  <si>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</si>
  <si>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</si>
  <si>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</si>
  <si>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</si>
  <si>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</si>
  <si>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</si>
  <si>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</si>
  <si>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</si>
  <si>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</si>
  <si>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</si>
  <si>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</si>
  <si>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</si>
  <si>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</si>
  <si>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</si>
  <si>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</si>
  <si>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</si>
  <si>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</si>
  <si>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</si>
  <si>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</si>
  <si>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</si>
  <si>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</si>
  <si>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</si>
  <si>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</si>
  <si>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</si>
  <si>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</si>
  <si>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</si>
  <si>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</si>
  <si>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</si>
  <si>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</si>
  <si>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</si>
  <si>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</si>
  <si>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</si>
  <si>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</si>
  <si>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</si>
  <si>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</si>
  <si>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</si>
  <si>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</si>
  <si>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</si>
  <si>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</si>
  <si>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</si>
  <si>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</si>
  <si>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</si>
  <si>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</si>
  <si>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</si>
  <si>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</si>
  <si>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</si>
  <si>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</si>
  <si>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</si>
  <si>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</si>
  <si>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</si>
  <si>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</si>
  <si>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</si>
  <si>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</si>
  <si>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</si>
  <si>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</si>
  <si>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</si>
  <si>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</si>
  <si>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</si>
  <si>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</si>
  <si>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</si>
  <si>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</si>
  <si>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</si>
  <si>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</si>
  <si>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</si>
  <si>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</si>
  <si>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</si>
  <si>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</si>
  <si>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</si>
  <si>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</si>
  <si>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</si>
  <si>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</si>
  <si>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</si>
  <si>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</si>
  <si>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</si>
  <si>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</si>
  <si>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</si>
  <si>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</si>
  <si>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</si>
  <si>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</si>
  <si>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</si>
  <si>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</si>
  <si>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</si>
  <si>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</si>
  <si>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</si>
  <si>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</si>
  <si>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</si>
  <si>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</si>
  <si>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</si>
  <si>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</si>
  <si>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</si>
  <si>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</si>
  <si>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</si>
  <si>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</si>
  <si>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</si>
  <si>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</si>
  <si>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</si>
  <si>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</si>
  <si>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</si>
  <si>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</si>
  <si>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</si>
  <si>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</si>
  <si>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</si>
  <si>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</si>
  <si>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</si>
  <si>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</si>
  <si>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</si>
  <si>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</si>
  <si>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</si>
  <si>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</si>
  <si>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</si>
  <si>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</si>
  <si>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</si>
  <si>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</si>
  <si>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</si>
  <si>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</si>
  <si>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</si>
  <si>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</si>
  <si>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</si>
  <si>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</si>
  <si>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</si>
  <si>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</si>
  <si>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</si>
  <si>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</si>
  <si>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</si>
  <si>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</si>
  <si>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</si>
  <si>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</si>
  <si>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</si>
  <si>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</si>
  <si>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</si>
  <si>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</si>
  <si>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</si>
  <si>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</si>
  <si>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</si>
  <si>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</si>
  <si>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</si>
  <si>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</si>
  <si>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</si>
  <si>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</si>
  <si>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</si>
  <si>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</si>
  <si>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</si>
  <si>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</si>
  <si>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</si>
  <si>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</si>
  <si>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</si>
  <si>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</si>
  <si>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</si>
  <si>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</si>
  <si>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</si>
  <si>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</si>
  <si>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</si>
  <si>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</si>
  <si>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</si>
  <si>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</si>
  <si>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</si>
  <si>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</si>
  <si>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</si>
  <si>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</si>
  <si>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</si>
  <si>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</si>
  <si>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</si>
  <si>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</si>
  <si>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</si>
  <si>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</si>
  <si>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</si>
  <si>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</si>
  <si>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</si>
  <si>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</si>
  <si>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</si>
  <si>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</si>
  <si>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</si>
  <si>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</si>
  <si>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</si>
  <si>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</si>
  <si>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</si>
  <si>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</si>
  <si>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</si>
  <si>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</si>
  <si>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</si>
  <si>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</si>
  <si>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</si>
  <si>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</si>
  <si>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</si>
  <si>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</si>
  <si>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</si>
  <si>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</si>
  <si>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</si>
  <si>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</si>
  <si>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</si>
  <si>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</si>
  <si>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</si>
  <si>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</si>
  <si>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</si>
  <si>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</si>
  <si>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</si>
  <si>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</si>
  <si>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</si>
  <si>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</si>
  <si>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</si>
  <si>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</si>
  <si>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</si>
  <si>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</si>
  <si>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</si>
  <si>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</si>
  <si>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</si>
  <si>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</si>
  <si>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</si>
  <si>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</si>
  <si>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</si>
  <si>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</si>
  <si>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</si>
  <si>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</si>
  <si>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</si>
  <si>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</si>
  <si>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</si>
  <si>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</si>
  <si>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</si>
  <si>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</si>
  <si>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</si>
  <si>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</si>
  <si>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</si>
  <si>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</si>
  <si>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</si>
  <si>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</si>
  <si>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</si>
  <si>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</si>
  <si>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</si>
  <si>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</si>
  <si>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</si>
  <si>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</si>
  <si>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</si>
  <si>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</si>
  <si>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</si>
  <si>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</si>
  <si>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</si>
  <si>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</si>
  <si>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</si>
  <si>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</si>
  <si>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</si>
  <si>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</si>
  <si>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</si>
  <si>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</si>
  <si>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</si>
  <si>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</si>
  <si>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</si>
  <si>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</si>
  <si>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</si>
  <si>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</si>
  <si>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</si>
  <si>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</si>
  <si>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</si>
  <si>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</si>
  <si>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</si>
  <si>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</si>
  <si>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</si>
  <si>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</si>
  <si>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</si>
  <si>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</si>
  <si>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</si>
  <si>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</si>
  <si>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</si>
  <si>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</si>
  <si>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</si>
  <si>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</si>
  <si>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</si>
  <si>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</si>
  <si>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</si>
  <si>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</si>
  <si>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</si>
  <si>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</si>
  <si>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</si>
  <si>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</si>
  <si>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</si>
  <si>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</si>
  <si>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</si>
  <si>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</si>
  <si>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</si>
  <si>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</si>
  <si>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</si>
  <si>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</si>
  <si>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</si>
  <si>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</si>
  <si>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</si>
  <si>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</si>
  <si>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</si>
  <si>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</si>
  <si>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</si>
  <si>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</si>
  <si>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</si>
  <si>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</si>
  <si>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</si>
  <si>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</si>
  <si>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</si>
  <si>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</si>
  <si>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</si>
  <si>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</si>
  <si>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</si>
  <si>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</si>
  <si>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</si>
  <si>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</si>
  <si>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</si>
  <si>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</si>
  <si>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</si>
  <si>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</si>
  <si>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</si>
  <si>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</si>
  <si>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</si>
  <si>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</si>
  <si>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</si>
  <si>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</si>
  <si>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</si>
  <si>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</si>
  <si>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</si>
  <si>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</si>
  <si>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</si>
  <si>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</si>
  <si>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</si>
  <si>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</si>
  <si>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</si>
  <si>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</si>
  <si>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</si>
  <si>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</si>
  <si>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</si>
  <si>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</si>
  <si>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</si>
  <si>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</si>
  <si>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</si>
  <si>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</si>
  <si>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</si>
  <si>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</si>
  <si>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</si>
  <si>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</si>
  <si>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</si>
  <si>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</si>
  <si>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</si>
  <si>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</si>
  <si>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</si>
  <si>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</si>
  <si>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</si>
  <si>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</si>
  <si>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</si>
  <si>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</si>
  <si>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</si>
  <si>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</si>
  <si>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</si>
  <si>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</si>
  <si>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</si>
  <si>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</si>
  <si>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</si>
  <si>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</si>
  <si>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</si>
  <si>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</si>
  <si>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</si>
  <si>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</si>
  <si>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</si>
  <si>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</si>
  <si>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</si>
  <si>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</si>
  <si>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</si>
  <si>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</si>
  <si>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</si>
  <si>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</si>
  <si>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</si>
  <si>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</si>
  <si>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</si>
  <si>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</si>
  <si>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</si>
  <si>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</si>
  <si>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</si>
  <si>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</si>
  <si>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</si>
  <si>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</si>
  <si>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</si>
  <si>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</si>
  <si>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</si>
  <si>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</si>
  <si>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</si>
  <si>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</si>
  <si>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</si>
  <si>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</si>
  <si>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</si>
  <si>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</si>
  <si>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</si>
  <si>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</si>
  <si>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</si>
  <si>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</si>
  <si>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</si>
  <si>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</si>
  <si>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</si>
  <si>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</si>
  <si>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</si>
  <si>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</si>
  <si>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</si>
  <si>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</si>
  <si>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</si>
  <si>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</si>
  <si>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</si>
  <si>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</si>
  <si>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</si>
  <si>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</si>
  <si>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</si>
  <si>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</si>
  <si>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</si>
  <si>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</si>
  <si>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</si>
  <si>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</si>
  <si>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</si>
  <si>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</si>
  <si>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</si>
  <si>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</si>
  <si>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</si>
  <si>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</si>
  <si>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</si>
  <si>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</si>
  <si>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</si>
  <si>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</si>
  <si>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</si>
  <si>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</si>
  <si>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</si>
  <si>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</si>
  <si>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</si>
  <si>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</si>
  <si>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</si>
  <si>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</si>
  <si>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</si>
  <si>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</si>
  <si>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</si>
  <si>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</si>
  <si>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</si>
  <si>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</si>
  <si>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</si>
  <si>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</si>
  <si>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</si>
  <si>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</si>
  <si>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</si>
  <si>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</si>
  <si>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</si>
  <si>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</si>
  <si>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</si>
  <si>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</si>
  <si>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</si>
  <si>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</si>
  <si>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</si>
  <si>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</si>
  <si>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</si>
  <si>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</si>
  <si>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</si>
  <si>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</si>
  <si>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</si>
  <si>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</si>
  <si>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</si>
  <si>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</si>
  <si>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</si>
  <si>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</si>
  <si>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</si>
  <si>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</si>
  <si>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</si>
  <si>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</si>
  <si>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</si>
  <si>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</si>
  <si>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</si>
  <si>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</si>
  <si>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</si>
  <si>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</si>
  <si>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</si>
  <si>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</si>
  <si>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</si>
  <si>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</si>
  <si>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</si>
  <si>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</si>
  <si>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</si>
  <si>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</si>
  <si>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</si>
  <si>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</si>
  <si>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</si>
  <si>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</si>
  <si>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</si>
  <si>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</si>
  <si>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</si>
  <si>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</si>
  <si>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</si>
  <si>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</si>
  <si>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</si>
  <si>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</si>
  <si>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</si>
  <si>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</si>
  <si>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</si>
  <si>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</si>
  <si>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</si>
  <si>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</si>
  <si>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</si>
  <si>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</si>
  <si>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</si>
  <si>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</si>
  <si>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</si>
  <si>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</si>
  <si>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</si>
  <si>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</si>
  <si>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</si>
  <si>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</si>
  <si>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</si>
  <si>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</si>
  <si>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</si>
  <si>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</si>
  <si>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</si>
  <si>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</si>
  <si>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</si>
  <si>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</si>
  <si>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</si>
  <si>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</si>
  <si>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</si>
  <si>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</si>
  <si>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</si>
  <si>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</si>
  <si>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</si>
  <si>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</si>
  <si>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</si>
  <si>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</si>
  <si>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</si>
  <si>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</si>
  <si>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</si>
  <si>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</si>
  <si>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</si>
  <si>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</si>
  <si>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</si>
  <si>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</si>
  <si>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</si>
  <si>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</si>
  <si>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</si>
  <si>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</si>
  <si>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</si>
  <si>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</si>
  <si>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</si>
  <si>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</si>
  <si>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</si>
  <si>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</si>
  <si>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</si>
  <si>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</si>
  <si>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</si>
  <si>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Metrics</t>
  </si>
  <si>
    <t>Total revenue, units sold, average order value, monthly growth, revenue by category, revenue by gender, and revenue by age group.</t>
  </si>
  <si>
    <t>Total revenue</t>
  </si>
  <si>
    <t>Units sold</t>
  </si>
  <si>
    <t>Avg Order value</t>
  </si>
  <si>
    <t>Max_sales</t>
  </si>
  <si>
    <t>Min_Sales</t>
  </si>
  <si>
    <t>Total sales by Gender</t>
  </si>
  <si>
    <t>Total sales by Age</t>
  </si>
  <si>
    <t>Row Labels</t>
  </si>
  <si>
    <t>Grand Total</t>
  </si>
  <si>
    <t>Sum of total_amount</t>
  </si>
  <si>
    <t>Sales Performance Dashboard</t>
  </si>
  <si>
    <t>Average of price_per_unit</t>
  </si>
  <si>
    <t>Average of total_amount</t>
  </si>
  <si>
    <t>Column Labels</t>
  </si>
  <si>
    <t>Count of customer_id</t>
  </si>
  <si>
    <t>8-25, 26-35, 36-45, 46+</t>
  </si>
  <si>
    <t>total order</t>
  </si>
  <si>
    <t>18-25</t>
  </si>
  <si>
    <t>26-35</t>
  </si>
  <si>
    <t>36-45</t>
  </si>
  <si>
    <t>46-64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</si>
</sst>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43" formatCode="_ * #,##0.00_ ;_ * \-#,##0.00_ ;_ * &quot;-&quot;??_ ;_ @_ "/>
    <numFmt numFmtId="164" formatCode="_ [$₹-4009]\ * #,##0.00_ ;_ [$₹-4009]\ * \-#,##0.00_ ;_ [$₹-4009]\ * &quot;-&quot;??_ ;_ @_ "/>
    <numFmt numFmtId="175" formatCode="_ [$₹-4009]\ * #,##0_ ;_ [$₹-4009]\ * \-#,##0_ ;_ [$₹-4009]\ * &quot;-&quot;??_ ;_ @_ "/>
    <numFmt numFmtId="177" formatCode="_ * #,##0_ ;_ * \-#,##0_ ;_ * &quot;-&quot;??_ ;_ @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Bahnschrift SemiLight SemiConde"/>
      <family val="2"/>
    </font>
    <font>
      <b/>
      <sz val="16"/>
      <color theme="1"/>
      <name val="Calibri"/>
      <family val="2"/>
      <scheme val="minor"/>
    </font>
    <font>
      <sz val="14"/>
      <color theme="1"/>
      <name val="Calibri"/>
      <family val="2"/>
      <scheme val="minor"/>
    </font>
    <font>
      <b/>
      <sz val="16"/>
      <color theme="0"/>
      <name val="Aptos Display"/>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0" fillId="0" borderId="0" xfId="0" applyAlignment="1">
      <alignment horizontal="center" vertical="center"/>
    </xf>
    <xf numFmtId="0" fontId="0" fillId="0" borderId="10" xfId="0" applyBorder="1"/>
    <xf numFmtId="0" fontId="19" fillId="0" borderId="0" xfId="0" applyFont="1"/>
    <xf numFmtId="0" fontId="20" fillId="0" borderId="10" xfId="0" applyFont="1" applyBorder="1"/>
    <xf numFmtId="0" fontId="0" fillId="0" borderId="0" xfId="0" pivotButton="1"/>
    <xf numFmtId="0" fontId="0" fillId="0" borderId="0" xfId="0" applyAlignment="1">
      <alignment horizontal="left"/>
    </xf>
    <xf numFmtId="0" fontId="16" fillId="0" borderId="0" xfId="0" applyFont="1" applyAlignment="1">
      <alignment vertical="center"/>
    </xf>
    <xf numFmtId="44" fontId="0" fillId="0" borderId="0" xfId="0" applyNumberFormat="1"/>
    <xf numFmtId="164" fontId="0" fillId="0" borderId="0" xfId="0" applyNumberFormat="1"/>
    <xf numFmtId="0" fontId="21" fillId="0" borderId="0" xfId="0" applyFont="1" applyAlignment="1">
      <alignment horizontal="center" vertical="center"/>
    </xf>
    <xf numFmtId="0" fontId="18" fillId="0" borderId="0" xfId="0" applyFont="1" applyAlignment="1">
      <alignment horizontal="center" vertical="center"/>
    </xf>
    <xf numFmtId="0" fontId="0" fillId="0" borderId="0" xfId="0" applyAlignment="1">
      <alignment horizontal="center" vertical="center"/>
    </xf>
    <xf numFmtId="0" fontId="0" fillId="0" borderId="0" xfId="0" applyNumberFormat="1"/>
    <xf numFmtId="1" fontId="0" fillId="0" borderId="0" xfId="0" applyNumberFormat="1"/>
    <xf numFmtId="175" fontId="0" fillId="0" borderId="10" xfId="1" applyNumberFormat="1" applyFont="1" applyBorder="1"/>
    <xf numFmtId="177" fontId="0" fillId="0" borderId="10" xfId="1" applyNumberFormat="1" applyFont="1" applyBorder="1"/>
    <xf numFmtId="1" fontId="0" fillId="0" borderId="10" xfId="0" applyNumberFormat="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3">
    <dxf>
      <font>
        <sz val="12"/>
        <color theme="0"/>
        <name val="Aptos Display"/>
        <family val="2"/>
        <scheme val="none"/>
      </font>
      <fill>
        <patternFill patternType="solid">
          <fgColor auto="1"/>
          <bgColor rgb="FF002060"/>
        </patternFill>
      </fill>
    </dxf>
    <dxf>
      <font>
        <sz val="10"/>
        <color theme="0"/>
        <name val="Aptos Display"/>
        <family val="2"/>
        <scheme val="none"/>
      </font>
      <fill>
        <gradientFill degree="90">
          <stop position="0">
            <color rgb="FF002060"/>
          </stop>
          <stop position="1">
            <color rgb="FF4C0070"/>
          </stop>
        </gradientFill>
      </fill>
    </dxf>
    <dxf>
      <fill>
        <gradientFill degree="90">
          <stop position="0">
            <color rgb="FF0B0A26"/>
          </stop>
          <stop position="1">
            <color rgb="FF4C0070"/>
          </stop>
        </gradientFill>
      </fill>
    </dxf>
    <dxf>
      <fill>
        <patternFill patternType="none">
          <fgColor auto="1"/>
          <bgColor auto="1"/>
        </patternFill>
      </fill>
    </dxf>
    <dxf>
      <fill>
        <patternFill patternType="none">
          <fgColor indexed="64"/>
          <bgColor auto="1"/>
        </patternFill>
      </fill>
    </dxf>
    <dxf>
      <fill>
        <patternFill>
          <bgColor theme="4"/>
        </patternFill>
      </fill>
    </dxf>
    <dxf>
      <fill>
        <patternFill patternType="none">
          <bgColor auto="1"/>
        </patternFill>
      </fill>
      <border diagonalUp="0" diagonalDown="0">
        <left/>
        <right/>
        <top/>
        <bottom/>
        <vertical/>
        <horizontal/>
      </border>
    </dxf>
    <dxf>
      <fill>
        <patternFill patternType="none">
          <bgColor auto="1"/>
        </patternFill>
      </fill>
    </dxf>
    <dxf>
      <numFmt numFmtId="1" formatCode="0"/>
    </dxf>
    <dxf>
      <numFmt numFmtId="19" formatCode="dd/mm/yyyy"/>
    </dxf>
    <dxf>
      <numFmt numFmtId="34" formatCode="_ &quot;₹&quot;\ * #,##0.00_ ;_ &quot;₹&quot;\ * \-#,##0.00_ ;_ &quot;₹&quot;\ * &quot;-&quot;??_ ;_ @_ "/>
    </dxf>
    <dxf>
      <numFmt numFmtId="164" formatCode="_ [$₹-4009]\ * #,##0.00_ ;_ [$₹-4009]\ * \-#,##0.00_ ;_ [$₹-4009]\ * &quot;-&quot;??_ ;_ @_ "/>
    </dxf>
    <dxf>
      <numFmt numFmtId="34" formatCode="_ &quot;₹&quot;\ * #,##0.00_ ;_ &quot;₹&quot;\ * \-#,##0.00_ ;_ &quot;₹&quot;\ * &quot;-&quot;??_ ;_ @_ "/>
    </dxf>
  </dxfs>
  <tableStyles count="7" defaultTableStyle="TableStyleMedium2" defaultPivotStyle="PivotStyleLight16">
    <tableStyle name="Slicer Style 1" pivot="0" table="0" count="1" xr9:uid="{5578F8A0-62E2-4FA3-9C29-AB241FCADA91}">
      <tableStyleElement type="wholeTable" dxfId="7"/>
    </tableStyle>
    <tableStyle name="Slicer Style 2" pivot="0" table="0" count="1" xr9:uid="{1030A59E-4240-42F0-B1FD-34C7DB69CAC0}">
      <tableStyleElement type="wholeTable" dxfId="6"/>
    </tableStyle>
    <tableStyle name="Slicer Style 3" pivot="0" table="0" count="1" xr9:uid="{BCCE21E1-1870-4E92-8AF9-B3FA72E8F96F}">
      <tableStyleElement type="wholeTable" dxfId="5"/>
    </tableStyle>
    <tableStyle name="Slicer Style 4" pivot="0" table="0" count="1" xr9:uid="{7B02606C-D4B5-4270-B44E-2A0057D57805}">
      <tableStyleElement type="wholeTable" dxfId="4"/>
    </tableStyle>
    <tableStyle name="Slicer Style 5" pivot="0" table="0" count="1" xr9:uid="{E743A0C6-23DF-4C04-B289-6070D686A169}">
      <tableStyleElement type="wholeTable" dxfId="3"/>
    </tableStyle>
    <tableStyle name="Slicer Style 6" pivot="0" table="0" count="2" xr9:uid="{C701ED80-18A3-4991-B918-86F2CB5F9B5C}">
      <tableStyleElement type="wholeTable" dxfId="2"/>
    </tableStyle>
    <tableStyle name="Slicer Style 7" pivot="0" table="0" count="3" xr9:uid="{D75F38DD-AB85-4C55-A75F-853789F5F9BC}">
      <tableStyleElement type="wholeTable" dxfId="1"/>
      <tableStyleElement type="headerRow" dxfId="0"/>
    </tableStyle>
  </tableStyles>
  <colors>
    <mruColors>
      <color rgb="FF990033"/>
      <color rgb="FF4C0070"/>
      <color rgb="FF0B0A26"/>
      <color rgb="FF00F2FE"/>
      <color rgb="FF4169E1"/>
      <color rgb="FFFF6B6B"/>
      <color rgb="FF2B285E"/>
      <color rgb="FF0F1123"/>
      <color rgb="FFA8C0FF"/>
      <color rgb="FF3B82FF"/>
    </mruColors>
  </colors>
  <extLst>
    <ext xmlns:x14="http://schemas.microsoft.com/office/spreadsheetml/2009/9/main" uri="{46F421CA-312F-682f-3DD2-61675219B42D}">
      <x14:dxfs count="2">
        <dxf>
          <font>
            <sz val="12"/>
            <color theme="0"/>
            <name val="Aptos Display"/>
            <family val="2"/>
            <scheme val="none"/>
          </font>
          <fill>
            <patternFill>
              <bgColor rgb="FF002060"/>
            </patternFill>
          </fill>
        </dxf>
        <dxf>
          <fill>
            <patternFill patternType="solid"/>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Elements>
            <x14:slicerStyleElement type="selectedItemWithData" dxfId="1"/>
          </x14:slicerStyleElements>
        </x14:slicerStyle>
        <x14:slicerStyle name="Slicer Style 7">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[sales_dashboard.xlsx]Revenue by month!PivotTable6</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rgbClr val="00F2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month'!$B$3</c:f>
              <c:strCache>
                <c:ptCount val="1"/>
                <c:pt idx="0">
                  <c:v>Total</c:v>
                </c:pt>
              </c:strCache>
            </c:strRef>
          </c:tx>
          <c:spPr>
            <a:ln w="28575" cap="rnd">
              <a:solidFill>
                <a:srgbClr val="00F2FE"/>
              </a:solidFill>
              <a:round/>
            </a:ln>
            <a:effectLst/>
          </c:spPr>
          <c:marker>
            <c:symbol val="none"/>
          </c:marker>
          <c:cat>
            <c:strRef>
              <c:f>'Revenue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month'!$B$4:$B$16</c:f>
              <c:numCache>
                <c:formatCode>_("₹"* #,##0.00_);_("₹"* \(#,##0.00\);_("₹"* "-"??_);_(@_)</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F809-4F04-B6DA-5A0A29C8CC72}"/>
            </c:ext>
          </c:extLst>
        </c:ser>
        <c:dLbls>
          <c:showLegendKey val="0"/>
          <c:showVal val="0"/>
          <c:showCatName val="0"/>
          <c:showSerName val="0"/>
          <c:showPercent val="0"/>
          <c:showBubbleSize val="0"/>
        </c:dLbls>
        <c:smooth val="0"/>
        <c:axId val="1552449583"/>
        <c:axId val="1558043007"/>
      </c:lineChart>
      <c:catAx>
        <c:axId val="155244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8043007"/>
        <c:crosses val="autoZero"/>
        <c:auto val="1"/>
        <c:lblAlgn val="ctr"/>
        <c:lblOffset val="100"/>
        <c:noMultiLvlLbl val="0"/>
      </c:catAx>
      <c:valAx>
        <c:axId val="1558043007"/>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244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[sales_dashboard.xlsx]Units sold by category!PivotTable10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Price per Unit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'Units sold by category'!$B$3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8D6-427F-A560-F22C0999CBC0}"/>
              </c:ext>
            </c:extLst>
          </c:dPt>
          <c:dPt>
            <c:idx val="1"/>
            <c:bubble3D val="0"/>
            <c:spPr>
              <a:solidFill>
                <a:schemeClr val="accent2"/>
              </a:solidFill>
              <a:ln>
                <a:noFill/>
              </a:ln>
              <a:effectLst/>
            </c:spPr>
            <c:extLst>
              <c:ext xmlns:c16="http://schemas.microsoft.com/office/drawing/2014/chart" uri="{C3380CC4-5D6E-409C-BE32-E72D297353CC}">
                <c16:uniqueId val="{00000003-E8D6-427F-A560-F22C0999CBC0}"/>
              </c:ext>
            </c:extLst>
          </c:dPt>
          <c:dPt>
            <c:idx val="2"/>
            <c:bubble3D val="0"/>
            <c:spPr>
              <a:solidFill>
                <a:schemeClr val="accent3"/>
              </a:solidFill>
              <a:ln>
                <a:noFill/>
              </a:ln>
              <a:effectLst/>
            </c:spPr>
            <c:extLst>
              <c:ext xmlns:c16="http://schemas.microsoft.com/office/drawing/2014/chart" uri="{C3380CC4-5D6E-409C-BE32-E72D297353CC}">
                <c16:uniqueId val="{00000005-E8D6-427F-A560-F22C0999CB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'Units sold by category'!$A$4:$A$7</c:f>
              <c:strCache>
                <c:ptCount val="3"/>
                <c:pt idx="0">
                  <c:v>Beauty</c:v>
                </c:pt>
                <c:pt idx="1">
                  <c:v>Clothing</c:v>
                </c:pt>
                <c:pt idx="2">
                  <c:v>Electronics</c:v>
                </c:pt>
              </c:strCache>
            </c:strRef>
          </c:cat>
          <c:val>
            <c:numRef>
              <c:f>'Units sold by category'!$B$4:$B$7</c:f>
              <c:numCache>
                <c:formatCode>0</c:formatCode>
                <c:ptCount val="3"/>
                <c:pt idx="0">
                  <c:v>184.05537459283389</c:v>
                </c:pt>
                <c:pt idx="1">
                  <c:v>174.28774928774928</c:v>
                </c:pt>
                <c:pt idx="2">
                  <c:v>181.90058479532163</c:v>
                </c:pt>
              </c:numCache>
            </c:numRef>
          </c:val>
          <c:extLst>
            <c:ext xmlns:c16="http://schemas.microsoft.com/office/drawing/2014/chart" uri="{C3380CC4-5D6E-409C-BE32-E72D297353CC}">
              <c16:uniqueId val="{00000000-415F-49B1-A819-8081AB1FA80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[sales_dashboard.xlsx]Sheet11!PivotTable12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Bahnschrift" panose="020B0502040204020203" pitchFamily="34" charset="0"/>
              </a:rPr>
              <a:t>Day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Sheet11!$A$4:$A$11</c:f>
              <c:strCache>
                <c:ptCount val="7"/>
                <c:pt idx="0">
                  <c:v>Sun</c:v>
                </c:pt>
                <c:pt idx="1">
                  <c:v>Mon</c:v>
                </c:pt>
                <c:pt idx="2">
                  <c:v>Tue</c:v>
                </c:pt>
                <c:pt idx="3">
                  <c:v>Wed</c:v>
                </c:pt>
                <c:pt idx="4">
                  <c:v>Thu</c:v>
                </c:pt>
                <c:pt idx="5">
                  <c:v>Fri</c:v>
                </c:pt>
                <c:pt idx="6">
                  <c:v>Sat</c:v>
                </c:pt>
              </c:strCache>
            </c:strRef>
          </c:cat>
          <c:val>
            <c:numRef>
              <c:f>Sheet11!$B$4:$B$11</c:f>
              <c:numCache>
                <c:formatCode>_ [$₹-4009]\ * #,##0.00_ ;_ [$₹-4009]\ * \-#,##0.00_ ;_ [$₹-4009]\ * "-"??_ ;_ @_ </c:formatCode>
                <c:ptCount val="7"/>
                <c:pt idx="0">
                  <c:v>58600</c:v>
                </c:pt>
                <c:pt idx="1">
                  <c:v>70250</c:v>
                </c:pt>
                <c:pt idx="2">
                  <c:v>69440</c:v>
                </c:pt>
                <c:pt idx="3">
                  <c:v>58770</c:v>
                </c:pt>
                <c:pt idx="4">
                  <c:v>53835</c:v>
                </c:pt>
                <c:pt idx="5">
                  <c:v>66290</c:v>
                </c:pt>
                <c:pt idx="6">
                  <c:v>78815</c:v>
                </c:pt>
              </c:numCache>
            </c:numRef>
          </c:val>
          <c:extLst>
            <c:ext xmlns:c16="http://schemas.microsoft.com/office/drawing/2014/chart" uri="{C3380CC4-5D6E-409C-BE32-E72D297353CC}">
              <c16:uniqueId val="{00000000-C6D1-46A5-AD6C-C3215A3E643F}"/>
            </c:ext>
          </c:extLst>
        </c:ser>
        <c:dLbls>
          <c:showLegendKey val="0"/>
          <c:showVal val="0"/>
          <c:showCatName val="0"/>
          <c:showSerName val="0"/>
          <c:showPercent val="0"/>
          <c:showBubbleSize val="0"/>
        </c:dLbls>
        <c:gapWidth val="219"/>
        <c:overlap val="-27"/>
        <c:axId val="1055741135"/>
        <c:axId val="498475743"/>
      </c:barChart>
      <c:catAx>
        <c:axId val="1055741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75743"/>
        <c:crosses val="autoZero"/>
        <c:auto val="1"/>
        <c:lblAlgn val="ctr"/>
        <c:lblOffset val="100"/>
        <c:noMultiLvlLbl val="0"/>
      </c:catAx>
      <c:valAx>
        <c:axId val="498475743"/>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74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[sales_dashboard.xlsx]Revenue by gender!PivotTable13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Purchase</a:t>
            </a:r>
            <a:r>
              <a:rPr lang="en-IN" baseline="0"/>
              <a:t> Amount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gender'!$B$3</c:f>
              <c:strCache>
                <c:ptCount val="1"/>
                <c:pt idx="0">
                  <c:v>Total</c:v>
                </c:pt>
              </c:strCache>
            </c:strRef>
          </c:tx>
          <c:spPr>
            <a:solidFill>
              <a:schemeClr val="accent1"/>
            </a:solidFill>
            <a:ln>
              <a:noFill/>
            </a:ln>
            <a:effectLst/>
          </c:spPr>
          <c:invertIfNegative val="0"/>
          <c:cat>
            <c:strRef>
              <c:f>'Revenue by gender'!$A$4:$A$6</c:f>
              <c:strCache>
                <c:ptCount val="2"/>
                <c:pt idx="0">
                  <c:v>Female</c:v>
                </c:pt>
                <c:pt idx="1">
                  <c:v>Male</c:v>
                </c:pt>
              </c:strCache>
            </c:strRef>
          </c:cat>
          <c:val>
            <c:numRef>
              <c:f>'Revenue by gender'!$B$4:$B$6</c:f>
              <c:numCache>
                <c:formatCode>_("₹"* #,##0.00_);_("₹"* \(#,##0.00\);_("₹"* "-"??_);_(@_)</c:formatCode>
                <c:ptCount val="2"/>
                <c:pt idx="0">
                  <c:v>456.54901960784315</c:v>
                </c:pt>
                <c:pt idx="1">
                  <c:v>455.42857142857144</c:v>
                </c:pt>
              </c:numCache>
            </c:numRef>
          </c:val>
          <c:extLst>
            <c:ext xmlns:c16="http://schemas.microsoft.com/office/drawing/2014/chart" uri="{C3380CC4-5D6E-409C-BE32-E72D297353CC}">
              <c16:uniqueId val="{00000000-A071-4B8B-A4E5-D9C9927DDB65}"/>
            </c:ext>
          </c:extLst>
        </c:ser>
        <c:dLbls>
          <c:showLegendKey val="0"/>
          <c:showVal val="0"/>
          <c:showCatName val="0"/>
          <c:showSerName val="0"/>
          <c:showPercent val="0"/>
          <c:showBubbleSize val="0"/>
        </c:dLbls>
        <c:gapWidth val="219"/>
        <c:overlap val="-27"/>
        <c:axId val="1490580671"/>
        <c:axId val="1558019967"/>
      </c:barChart>
      <c:catAx>
        <c:axId val="149058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019967"/>
        <c:crosses val="autoZero"/>
        <c:auto val="1"/>
        <c:lblAlgn val="ctr"/>
        <c:lblOffset val="100"/>
        <c:noMultiLvlLbl val="0"/>
      </c:catAx>
      <c:valAx>
        <c:axId val="1558019967"/>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58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dLbls>
          <c:showLegendKey val="0"/>
          <c:showVal val="0"/>
          <c:showCatName val="0"/>
          <c:showSerName val="0"/>
          <c:showPercent val="0"/>
          <c:showBubbleSize val="0"/>
        </c:dLbls>
        <c:gapWidth val="150"/>
        <c:overlap val="100"/>
        <c:axId val="1598320527"/>
        <c:axId val="1558021887"/>
      </c:barChart>
      <c:catAx>
        <c:axId val="159832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021887"/>
        <c:crosses val="autoZero"/>
        <c:auto val="1"/>
        <c:lblAlgn val="ctr"/>
        <c:lblOffset val="100"/>
        <c:noMultiLvlLbl val="0"/>
      </c:catAx>
      <c:valAx>
        <c:axId val="155802188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32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dLbls>
          <c:showLegendKey val="0"/>
          <c:showVal val="0"/>
          <c:showCatName val="0"/>
          <c:showSerName val="0"/>
          <c:showPercent val="0"/>
          <c:showBubbleSize val="0"/>
        </c:dLbls>
        <c:gapWidth val="150"/>
        <c:overlap val="100"/>
        <c:axId val="1248884112"/>
        <c:axId val="1257049632"/>
      </c:barChart>
      <c:catAx>
        <c:axId val="124888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49632"/>
        <c:crosses val="autoZero"/>
        <c:auto val="1"/>
        <c:lblAlgn val="ctr"/>
        <c:lblOffset val="100"/>
        <c:noMultiLvlLbl val="0"/>
      </c:catAx>
      <c:valAx>
        <c:axId val="12570496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88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Sheet1!$B$3:$B$4</c:f>
              <c:strCache>
                <c:ptCount val="1"/>
                <c:pt idx="0">
                  <c:v>Beauty</c:v>
                </c:pt>
              </c:strCache>
            </c:strRef>
          </c:tx>
          <c:spPr>
            <a:solidFill>
              <a:schemeClr val="accent1"/>
            </a:solidFill>
            <a:ln>
              <a:noFill/>
            </a:ln>
            <a:effectLst/>
          </c:spPr>
          <c:invertIfNegative val="0"/>
          <c:cat>
            <c:strRef>
              <c:f>Sheet1!$A$5:$A$9</c:f>
              <c:strCache>
                <c:ptCount val="4"/>
                <c:pt idx="0">
                  <c:v>18-25</c:v>
                </c:pt>
                <c:pt idx="1">
                  <c:v>26-35</c:v>
                </c:pt>
                <c:pt idx="2">
                  <c:v>36-45</c:v>
                </c:pt>
                <c:pt idx="3">
                  <c:v>46-64</c:v>
                </c:pt>
              </c:strCache>
            </c:strRef>
          </c:cat>
          <c:val>
            <c:numRef>
              <c:f>Sheet1!$B$5:$B$9</c:f>
              <c:numCache>
                <c:formatCode>General</c:formatCode>
                <c:ptCount val="4"/>
                <c:pt idx="0">
                  <c:v>60</c:v>
                </c:pt>
                <c:pt idx="1">
                  <c:v>67</c:v>
                </c:pt>
                <c:pt idx="2">
                  <c:v>54</c:v>
                </c:pt>
                <c:pt idx="3">
                  <c:v>126</c:v>
                </c:pt>
              </c:numCache>
            </c:numRef>
          </c:val>
          <c:extLst>
            <c:ext xmlns:c16="http://schemas.microsoft.com/office/drawing/2014/chart" uri="{C3380CC4-5D6E-409C-BE32-E72D297353CC}">
              <c16:uniqueId val="{00000000-B0B5-475A-BC14-152752A2ADCF}"/>
            </c:ext>
          </c:extLst>
        </c:ser>
        <c:ser>
          <c:idx val="1"/>
          <c:order val="1"/>
          <c:tx>
            <c:strRef>
              <c:f>Sheet1!$C$3:$C$4</c:f>
              <c:strCache>
                <c:ptCount val="1"/>
                <c:pt idx="0">
                  <c:v>Clothing</c:v>
                </c:pt>
              </c:strCache>
            </c:strRef>
          </c:tx>
          <c:spPr>
            <a:solidFill>
              <a:schemeClr val="accent2"/>
            </a:solidFill>
            <a:ln>
              <a:noFill/>
            </a:ln>
            <a:effectLst/>
          </c:spPr>
          <c:invertIfNegative val="0"/>
          <c:cat>
            <c:strRef>
              <c:f>Sheet1!$A$5:$A$9</c:f>
              <c:strCache>
                <c:ptCount val="4"/>
                <c:pt idx="0">
                  <c:v>18-25</c:v>
                </c:pt>
                <c:pt idx="1">
                  <c:v>26-35</c:v>
                </c:pt>
                <c:pt idx="2">
                  <c:v>36-45</c:v>
                </c:pt>
                <c:pt idx="3">
                  <c:v>46-64</c:v>
                </c:pt>
              </c:strCache>
            </c:strRef>
          </c:cat>
          <c:val>
            <c:numRef>
              <c:f>Sheet1!$C$5:$C$9</c:f>
              <c:numCache>
                <c:formatCode>General</c:formatCode>
                <c:ptCount val="4"/>
                <c:pt idx="0">
                  <c:v>51</c:v>
                </c:pt>
                <c:pt idx="1">
                  <c:v>74</c:v>
                </c:pt>
                <c:pt idx="2">
                  <c:v>76</c:v>
                </c:pt>
                <c:pt idx="3">
                  <c:v>150</c:v>
                </c:pt>
              </c:numCache>
            </c:numRef>
          </c:val>
          <c:extLst>
            <c:ext xmlns:c16="http://schemas.microsoft.com/office/drawing/2014/chart" uri="{C3380CC4-5D6E-409C-BE32-E72D297353CC}">
              <c16:uniqueId val="{0000000B-B0B5-475A-BC14-152752A2ADCF}"/>
            </c:ext>
          </c:extLst>
        </c:ser>
        <c:ser>
          <c:idx val="2"/>
          <c:order val="2"/>
          <c:tx>
            <c:strRef>
              <c:f>Sheet1!$D$3:$D$4</c:f>
              <c:strCache>
                <c:ptCount val="1"/>
                <c:pt idx="0">
                  <c:v>Electronics</c:v>
                </c:pt>
              </c:strCache>
            </c:strRef>
          </c:tx>
          <c:spPr>
            <a:solidFill>
              <a:schemeClr val="accent3"/>
            </a:solidFill>
            <a:ln>
              <a:noFill/>
            </a:ln>
            <a:effectLst/>
          </c:spPr>
          <c:invertIfNegative val="0"/>
          <c:cat>
            <c:strRef>
              <c:f>Sheet1!$A$5:$A$9</c:f>
              <c:strCache>
                <c:ptCount val="4"/>
                <c:pt idx="0">
                  <c:v>18-25</c:v>
                </c:pt>
                <c:pt idx="1">
                  <c:v>26-35</c:v>
                </c:pt>
                <c:pt idx="2">
                  <c:v>36-45</c:v>
                </c:pt>
                <c:pt idx="3">
                  <c:v>46-64</c:v>
                </c:pt>
              </c:strCache>
            </c:strRef>
          </c:cat>
          <c:val>
            <c:numRef>
              <c:f>Sheet1!$D$5:$D$9</c:f>
              <c:numCache>
                <c:formatCode>General</c:formatCode>
                <c:ptCount val="4"/>
                <c:pt idx="0">
                  <c:v>58</c:v>
                </c:pt>
                <c:pt idx="1">
                  <c:v>64</c:v>
                </c:pt>
                <c:pt idx="2">
                  <c:v>72</c:v>
                </c:pt>
                <c:pt idx="3">
                  <c:v>148</c:v>
                </c:pt>
              </c:numCache>
            </c:numRef>
          </c:val>
          <c:extLst>
            <c:ext xmlns:c16="http://schemas.microsoft.com/office/drawing/2014/chart" uri="{C3380CC4-5D6E-409C-BE32-E72D297353CC}">
              <c16:uniqueId val="{0000000C-B0B5-475A-BC14-152752A2ADCF}"/>
            </c:ext>
          </c:extLst>
        </c:ser>
        <c:dLbls>
          <c:showLegendKey val="0"/>
          <c:showVal val="0"/>
          <c:showCatName val="0"/>
          <c:showSerName val="0"/>
          <c:showPercent val="0"/>
          <c:showBubbleSize val="0"/>
        </c:dLbls>
        <c:gapWidth val="150"/>
        <c:overlap val="100"/>
        <c:axId val="1386108640"/>
        <c:axId val="1257076992"/>
      </c:barChart>
      <c:catAx>
        <c:axId val="138610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76992"/>
        <c:crosses val="autoZero"/>
        <c:auto val="1"/>
        <c:lblAlgn val="ctr"/>
        <c:lblOffset val="100"/>
        <c:noMultiLvlLbl val="0"/>
      </c:catAx>
      <c:valAx>
        <c:axId val="1257076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10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[sales_dashboard.xlsx]Sheet11!PivotTable12</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Revenue by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B8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B82FF"/>
          </a:solidFill>
          <a:ln>
            <a:noFill/>
          </a:ln>
          <a:effectLst/>
        </c:spPr>
      </c:pivotFmt>
    </c:pivotFmts>
    <c:plotArea>
      <c:layout/>
      <c:barChart>
        <c:barDir val="col"/>
        <c:grouping val="clustered"/>
        <c:varyColors val="0"/>
        <c:ser>
          <c:idx val="0"/>
          <c:order val="0"/>
          <c:tx>
            <c:strRef>
              <c:f>Sheet11!$B$3</c:f>
              <c:strCache>
                <c:ptCount val="1"/>
                <c:pt idx="0">
                  <c:v>Total</c:v>
                </c:pt>
              </c:strCache>
            </c:strRef>
          </c:tx>
          <c:spPr>
            <a:solidFill>
              <a:srgbClr val="3B82FF"/>
            </a:solidFill>
            <a:ln>
              <a:noFill/>
            </a:ln>
            <a:effectLst/>
          </c:spPr>
          <c:invertIfNegative val="0"/>
          <c:cat>
            <c:strRef>
              <c:f>Sheet11!$A$4:$A$11</c:f>
              <c:strCache>
                <c:ptCount val="7"/>
                <c:pt idx="0">
                  <c:v>Sun</c:v>
                </c:pt>
                <c:pt idx="1">
                  <c:v>Mon</c:v>
                </c:pt>
                <c:pt idx="2">
                  <c:v>Tue</c:v>
                </c:pt>
                <c:pt idx="3">
                  <c:v>Wed</c:v>
                </c:pt>
                <c:pt idx="4">
                  <c:v>Thu</c:v>
                </c:pt>
                <c:pt idx="5">
                  <c:v>Fri</c:v>
                </c:pt>
                <c:pt idx="6">
                  <c:v>Sat</c:v>
                </c:pt>
              </c:strCache>
            </c:strRef>
          </c:cat>
          <c:val>
            <c:numRef>
              <c:f>Sheet11!$B$4:$B$11</c:f>
              <c:numCache>
                <c:formatCode>_ [$₹-4009]\ * #,##0.00_ ;_ [$₹-4009]\ * \-#,##0.00_ ;_ [$₹-4009]\ * "-"??_ ;_ @_ </c:formatCode>
                <c:ptCount val="7"/>
                <c:pt idx="0">
                  <c:v>58600</c:v>
                </c:pt>
                <c:pt idx="1">
                  <c:v>70250</c:v>
                </c:pt>
                <c:pt idx="2">
                  <c:v>69440</c:v>
                </c:pt>
                <c:pt idx="3">
                  <c:v>58770</c:v>
                </c:pt>
                <c:pt idx="4">
                  <c:v>53835</c:v>
                </c:pt>
                <c:pt idx="5">
                  <c:v>66290</c:v>
                </c:pt>
                <c:pt idx="6">
                  <c:v>78815</c:v>
                </c:pt>
              </c:numCache>
            </c:numRef>
          </c:val>
          <c:extLst>
            <c:ext xmlns:c16="http://schemas.microsoft.com/office/drawing/2014/chart" uri="{C3380CC4-5D6E-409C-BE32-E72D297353CC}">
              <c16:uniqueId val="{00000000-7322-4EA3-B6E7-2864680F3D24}"/>
            </c:ext>
          </c:extLst>
        </c:ser>
        <c:dLbls>
          <c:showLegendKey val="0"/>
          <c:showVal val="0"/>
          <c:showCatName val="0"/>
          <c:showSerName val="0"/>
          <c:showPercent val="0"/>
          <c:showBubbleSize val="0"/>
        </c:dLbls>
        <c:gapWidth val="219"/>
        <c:overlap val="-27"/>
        <c:axId val="1055741135"/>
        <c:axId val="498475743"/>
      </c:barChart>
      <c:catAx>
        <c:axId val="1055741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a:glow>
              <a:schemeClr val="bg1">
                <a:alpha val="15000"/>
              </a:schemeClr>
            </a:glow>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8475743"/>
        <c:crosses val="autoZero"/>
        <c:auto val="1"/>
        <c:lblAlgn val="ctr"/>
        <c:lblOffset val="100"/>
        <c:noMultiLvlLbl val="0"/>
      </c:catAx>
      <c:valAx>
        <c:axId val="498475743"/>
        <c:scaling>
          <c:orientation val="minMax"/>
        </c:scaling>
        <c:delete val="0"/>
        <c:axPos val="l"/>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574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a:glow>
        <a:schemeClr val="bg1"/>
      </a:glow>
      <a:softEdge rad="63500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[sales_dashboard.xlsx]Units sold by category!PivotTable10</c:name>
    <c:fmtId val="7"/>
  </c:pivotSource>
  <c:chart>
    <c:title>
      <c:tx>
        <c:rich>
          <a:bodyPr rot="0" spcFirstLastPara="1" vertOverflow="ellipsis" vert="horz" wrap="square" anchor="ctr" anchorCtr="1"/>
          <a:lstStyle/>
          <a:p>
            <a:pPr>
              <a:defRPr lang="en-IN" sz="1400" b="1" i="0" u="none" strike="noStrike" kern="1200" spc="0" baseline="0">
                <a:solidFill>
                  <a:sysClr val="window" lastClr="FFFFFF"/>
                </a:solidFill>
                <a:latin typeface="+mn-lt"/>
                <a:ea typeface="+mn-ea"/>
                <a:cs typeface="+mn-cs"/>
              </a:defRPr>
            </a:pPr>
            <a:r>
              <a:rPr lang="en-IN" sz="1400" b="1" i="0" u="none" strike="noStrike" kern="1200" spc="0" baseline="0">
                <a:solidFill>
                  <a:sysClr val="window" lastClr="FFFFFF"/>
                </a:solidFill>
                <a:latin typeface="Aptos Display" panose="020B0004020202020204" pitchFamily="34" charset="0"/>
                <a:ea typeface="+mn-ea"/>
                <a:cs typeface="+mn-cs"/>
              </a:rPr>
              <a:t>A</a:t>
            </a:r>
            <a:r>
              <a:rPr lang="en-IN" sz="1400" b="0" i="0" u="none" strike="noStrike" kern="1200" spc="0" baseline="0">
                <a:solidFill>
                  <a:sysClr val="window" lastClr="FFFFFF"/>
                </a:solidFill>
                <a:latin typeface="Aptos Display" panose="020B0004020202020204" pitchFamily="34" charset="0"/>
                <a:ea typeface="+mn-ea"/>
                <a:cs typeface="+mn-cs"/>
              </a:rPr>
              <a:t>verage per unit category </a:t>
            </a:r>
            <a:endParaRPr lang="en-IN" sz="1400" b="1" i="0" u="none" strike="noStrike" kern="1200" spc="0" baseline="0">
              <a:solidFill>
                <a:sysClr val="window" lastClr="FFFFFF"/>
              </a:solidFill>
              <a:latin typeface="Aptos Display" panose="020B0004020202020204" pitchFamily="34" charset="0"/>
              <a:ea typeface="+mn-ea"/>
              <a:cs typeface="+mn-cs"/>
            </a:endParaRPr>
          </a:p>
        </c:rich>
      </c:tx>
      <c:layout>
        <c:manualLayout>
          <c:xMode val="edge"/>
          <c:yMode val="edge"/>
          <c:x val="0.38303030303030305"/>
          <c:y val="0"/>
        </c:manualLayout>
      </c:layout>
      <c:overlay val="0"/>
      <c:spPr>
        <a:noFill/>
        <a:ln>
          <a:noFill/>
        </a:ln>
        <a:effectLst/>
      </c:spPr>
      <c:txPr>
        <a:bodyPr rot="0" spcFirstLastPara="1" vertOverflow="ellipsis" vert="horz" wrap="square" anchor="ctr" anchorCtr="1"/>
        <a:lstStyle/>
        <a:p>
          <a:pPr>
            <a:defRPr lang="en-IN" sz="1400" b="1"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B82FF"/>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B82FF"/>
          </a:solidFill>
          <a:ln>
            <a:noFill/>
          </a:ln>
          <a:effectLst/>
        </c:spPr>
        <c:dLbl>
          <c:idx val="0"/>
          <c:layout>
            <c:manualLayout>
              <c:x val="0.23388091301996042"/>
              <c:y val="-1.6328928046989721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F2FE"/>
          </a:solidFill>
          <a:ln>
            <a:noFill/>
          </a:ln>
          <a:effectLst/>
        </c:spPr>
        <c:dLbl>
          <c:idx val="0"/>
          <c:layout>
            <c:manualLayout>
              <c:x val="-3.2149353608464673E-2"/>
              <c:y val="-9.9318972793599039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B6B"/>
          </a:solidFill>
          <a:ln>
            <a:noFill/>
          </a:ln>
          <a:effectLst/>
        </c:spPr>
        <c:dLbl>
          <c:idx val="0"/>
          <c:layout>
            <c:manualLayout>
              <c:x val="2.7318819796249536E-2"/>
              <c:y val="-0.14599188317319367"/>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652714463323663"/>
          <c:y val="0.16617486848752025"/>
          <c:w val="0.48538271232842306"/>
          <c:h val="0.70638735776060568"/>
        </c:manualLayout>
      </c:layout>
      <c:barChart>
        <c:barDir val="bar"/>
        <c:grouping val="clustered"/>
        <c:varyColors val="0"/>
        <c:ser>
          <c:idx val="0"/>
          <c:order val="0"/>
          <c:tx>
            <c:strRef>
              <c:f>'Units sold by category'!$B$3</c:f>
              <c:strCache>
                <c:ptCount val="1"/>
                <c:pt idx="0">
                  <c:v>Total</c:v>
                </c:pt>
              </c:strCache>
            </c:strRef>
          </c:tx>
          <c:spPr>
            <a:solidFill>
              <a:srgbClr val="3B82FF"/>
            </a:solidFill>
            <a:ln>
              <a:noFill/>
            </a:ln>
            <a:effectLst/>
          </c:spPr>
          <c:invertIfNegative val="0"/>
          <c:dPt>
            <c:idx val="0"/>
            <c:invertIfNegative val="0"/>
            <c:bubble3D val="0"/>
            <c:spPr>
              <a:solidFill>
                <a:srgbClr val="00F2FE"/>
              </a:solidFill>
              <a:ln>
                <a:noFill/>
              </a:ln>
              <a:effectLst/>
            </c:spPr>
            <c:extLst>
              <c:ext xmlns:c16="http://schemas.microsoft.com/office/drawing/2014/chart" uri="{C3380CC4-5D6E-409C-BE32-E72D297353CC}">
                <c16:uniqueId val="{00000002-FBB0-4E0B-861F-FA9C110C10C5}"/>
              </c:ext>
            </c:extLst>
          </c:dPt>
          <c:dPt>
            <c:idx val="1"/>
            <c:invertIfNegative val="0"/>
            <c:bubble3D val="0"/>
            <c:spPr>
              <a:solidFill>
                <a:srgbClr val="3B82FF"/>
              </a:solidFill>
              <a:ln>
                <a:noFill/>
              </a:ln>
              <a:effectLst/>
            </c:spPr>
            <c:extLst>
              <c:ext xmlns:c16="http://schemas.microsoft.com/office/drawing/2014/chart" uri="{C3380CC4-5D6E-409C-BE32-E72D297353CC}">
                <c16:uniqueId val="{00000001-FBB0-4E0B-861F-FA9C110C10C5}"/>
              </c:ext>
            </c:extLst>
          </c:dPt>
          <c:dPt>
            <c:idx val="2"/>
            <c:invertIfNegative val="0"/>
            <c:bubble3D val="0"/>
            <c:spPr>
              <a:solidFill>
                <a:srgbClr val="FF6B6B"/>
              </a:solidFill>
              <a:ln>
                <a:noFill/>
              </a:ln>
              <a:effectLst/>
            </c:spPr>
            <c:extLst>
              <c:ext xmlns:c16="http://schemas.microsoft.com/office/drawing/2014/chart" uri="{C3380CC4-5D6E-409C-BE32-E72D297353CC}">
                <c16:uniqueId val="{00000003-FBB0-4E0B-861F-FA9C110C10C5}"/>
              </c:ext>
            </c:extLst>
          </c:dPt>
          <c:dLbls>
            <c:dLbl>
              <c:idx val="0"/>
              <c:layout>
                <c:manualLayout>
                  <c:x val="-3.2149353608464673E-2"/>
                  <c:y val="-9.93189727935990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B0-4E0B-861F-FA9C110C10C5}"/>
                </c:ext>
              </c:extLst>
            </c:dLbl>
            <c:dLbl>
              <c:idx val="1"/>
              <c:layout>
                <c:manualLayout>
                  <c:x val="0.23388091301996042"/>
                  <c:y val="-1.63289280469897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B0-4E0B-861F-FA9C110C10C5}"/>
                </c:ext>
              </c:extLst>
            </c:dLbl>
            <c:dLbl>
              <c:idx val="2"/>
              <c:layout>
                <c:manualLayout>
                  <c:x val="2.7318819796249536E-2"/>
                  <c:y val="-0.145991883173193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B0-4E0B-861F-FA9C110C10C5}"/>
                </c:ext>
              </c:extLst>
            </c:dLbl>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'Units sold by category'!$A$4:$A$7</c:f>
              <c:strCache>
                <c:ptCount val="3"/>
                <c:pt idx="0">
                  <c:v>Beauty</c:v>
                </c:pt>
                <c:pt idx="1">
                  <c:v>Clothing</c:v>
                </c:pt>
                <c:pt idx="2">
                  <c:v>Electronics</c:v>
                </c:pt>
              </c:strCache>
            </c:strRef>
          </c:cat>
          <c:val>
            <c:numRef>
              <c:f>'Units sold by category'!$B$4:$B$7</c:f>
              <c:numCache>
                <c:formatCode>0</c:formatCode>
                <c:ptCount val="3"/>
                <c:pt idx="0">
                  <c:v>184.05537459283389</c:v>
                </c:pt>
                <c:pt idx="1">
                  <c:v>174.28774928774928</c:v>
                </c:pt>
                <c:pt idx="2">
                  <c:v>181.90058479532163</c:v>
                </c:pt>
              </c:numCache>
            </c:numRef>
          </c:val>
          <c:extLst>
            <c:ext xmlns:c16="http://schemas.microsoft.com/office/drawing/2014/chart" uri="{C3380CC4-5D6E-409C-BE32-E72D297353CC}">
              <c16:uniqueId val="{00000000-FBB0-4E0B-861F-FA9C110C10C5}"/>
            </c:ext>
          </c:extLst>
        </c:ser>
        <c:dLbls>
          <c:showLegendKey val="0"/>
          <c:showVal val="0"/>
          <c:showCatName val="0"/>
          <c:showSerName val="0"/>
          <c:showPercent val="0"/>
          <c:showBubbleSize val="0"/>
        </c:dLbls>
        <c:gapWidth val="100"/>
        <c:axId val="1386140192"/>
        <c:axId val="1074605920"/>
      </c:barChart>
      <c:valAx>
        <c:axId val="1074605920"/>
        <c:scaling>
          <c:orientation val="minMax"/>
          <c:min val="0"/>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386140192"/>
        <c:crossBetween val="between"/>
      </c:valAx>
      <c:catAx>
        <c:axId val="1386140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074605920"/>
        <c:auto val="1"/>
        <c:lblAlgn val="ctr"/>
        <c:lblOffset val="100"/>
        <c:noMultiLvlLbl val="0"/>
      </c:catAx>
      <c:spPr>
        <a:noFill/>
        <a:ln>
          <a:noFill/>
        </a:ln>
        <a:effectLst/>
      </c:spPr>
    </c:plotArea>
    <c:legend>
      <c:legendPos val="r"/>
      <c:layout>
        <c:manualLayout>
          <c:xMode val="edge"/>
          <c:yMode val="edge"/>
          <c:x val="4.8323932535642065E-2"/>
          <c:y val="0.43765659266532631"/>
          <c:w val="0.17097330575613531"/>
          <c:h val="0.48711958759958529"/>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a:softEdge rad="12700"/>
    </a:effectLst>
  </c:spPr>
  <c:txPr>
    <a:bodyPr/>
    <a:lstStyle/>
    <a:p>
      <a:pPr algn="ct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[sales_dashboard.xlsx]Revenue by gender!PivotTable13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Average Purchase Amount by Gender</a:t>
            </a:r>
          </a:p>
        </c:rich>
      </c:tx>
      <c:layout>
        <c:manualLayout>
          <c:xMode val="edge"/>
          <c:yMode val="edge"/>
          <c:x val="0.11499992982160652"/>
          <c:y val="9.696969696969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B8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F2FE"/>
          </a:solidFill>
          <a:ln>
            <a:noFill/>
          </a:ln>
          <a:effectLst/>
        </c:spPr>
      </c:pivotFmt>
      <c:pivotFmt>
        <c:idx val="4"/>
        <c:spPr>
          <a:solidFill>
            <a:srgbClr val="4169E1"/>
          </a:solidFill>
          <a:ln>
            <a:noFill/>
          </a:ln>
          <a:effectLst/>
        </c:spPr>
      </c:pivotFmt>
    </c:pivotFmts>
    <c:plotArea>
      <c:layout>
        <c:manualLayout>
          <c:layoutTarget val="inner"/>
          <c:xMode val="edge"/>
          <c:yMode val="edge"/>
          <c:x val="0.1856134293373756"/>
          <c:y val="0.32190885230255306"/>
          <c:w val="0.73930525350997789"/>
          <c:h val="0.52312670007158191"/>
        </c:manualLayout>
      </c:layout>
      <c:barChart>
        <c:barDir val="col"/>
        <c:grouping val="clustered"/>
        <c:varyColors val="0"/>
        <c:ser>
          <c:idx val="0"/>
          <c:order val="0"/>
          <c:tx>
            <c:strRef>
              <c:f>'Revenue by gender'!$B$3</c:f>
              <c:strCache>
                <c:ptCount val="1"/>
                <c:pt idx="0">
                  <c:v>Total</c:v>
                </c:pt>
              </c:strCache>
            </c:strRef>
          </c:tx>
          <c:spPr>
            <a:solidFill>
              <a:srgbClr val="3B82FF"/>
            </a:solidFill>
            <a:ln>
              <a:noFill/>
            </a:ln>
            <a:effectLst/>
          </c:spPr>
          <c:invertIfNegative val="0"/>
          <c:dPt>
            <c:idx val="0"/>
            <c:invertIfNegative val="0"/>
            <c:bubble3D val="0"/>
            <c:spPr>
              <a:solidFill>
                <a:srgbClr val="4169E1"/>
              </a:solidFill>
              <a:ln>
                <a:noFill/>
              </a:ln>
              <a:effectLst/>
            </c:spPr>
            <c:extLst>
              <c:ext xmlns:c16="http://schemas.microsoft.com/office/drawing/2014/chart" uri="{C3380CC4-5D6E-409C-BE32-E72D297353CC}">
                <c16:uniqueId val="{00000002-EA98-4257-A77C-4DDE7B14CD90}"/>
              </c:ext>
            </c:extLst>
          </c:dPt>
          <c:dPt>
            <c:idx val="1"/>
            <c:invertIfNegative val="0"/>
            <c:bubble3D val="0"/>
            <c:spPr>
              <a:solidFill>
                <a:srgbClr val="00F2FE"/>
              </a:solidFill>
              <a:ln>
                <a:noFill/>
              </a:ln>
              <a:effectLst/>
            </c:spPr>
            <c:extLst>
              <c:ext xmlns:c16="http://schemas.microsoft.com/office/drawing/2014/chart" uri="{C3380CC4-5D6E-409C-BE32-E72D297353CC}">
                <c16:uniqueId val="{00000001-EA98-4257-A77C-4DDE7B14CD90}"/>
              </c:ext>
            </c:extLst>
          </c:dPt>
          <c:cat>
            <c:strRef>
              <c:f>'Revenue by gender'!$A$4:$A$6</c:f>
              <c:strCache>
                <c:ptCount val="2"/>
                <c:pt idx="0">
                  <c:v>Female</c:v>
                </c:pt>
                <c:pt idx="1">
                  <c:v>Male</c:v>
                </c:pt>
              </c:strCache>
            </c:strRef>
          </c:cat>
          <c:val>
            <c:numRef>
              <c:f>'Revenue by gender'!$B$4:$B$6</c:f>
              <c:numCache>
                <c:formatCode>_("₹"* #,##0.00_);_("₹"* \(#,##0.00\);_("₹"* "-"??_);_(@_)</c:formatCode>
                <c:ptCount val="2"/>
                <c:pt idx="0">
                  <c:v>456.54901960784315</c:v>
                </c:pt>
                <c:pt idx="1">
                  <c:v>455.42857142857144</c:v>
                </c:pt>
              </c:numCache>
            </c:numRef>
          </c:val>
          <c:extLst>
            <c:ext xmlns:c16="http://schemas.microsoft.com/office/drawing/2014/chart" uri="{C3380CC4-5D6E-409C-BE32-E72D297353CC}">
              <c16:uniqueId val="{00000000-EA98-4257-A77C-4DDE7B14CD90}"/>
            </c:ext>
          </c:extLst>
        </c:ser>
        <c:dLbls>
          <c:showLegendKey val="0"/>
          <c:showVal val="0"/>
          <c:showCatName val="0"/>
          <c:showSerName val="0"/>
          <c:showPercent val="0"/>
          <c:showBubbleSize val="0"/>
        </c:dLbls>
        <c:gapWidth val="219"/>
        <c:overlap val="-27"/>
        <c:axId val="1490580671"/>
        <c:axId val="1558019967"/>
      </c:barChart>
      <c:catAx>
        <c:axId val="149058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8019967"/>
        <c:crosses val="autoZero"/>
        <c:auto val="1"/>
        <c:lblAlgn val="ctr"/>
        <c:lblOffset val="100"/>
        <c:noMultiLvlLbl val="0"/>
      </c:catAx>
      <c:valAx>
        <c:axId val="1558019967"/>
        <c:scaling>
          <c:orientation val="minMax"/>
          <c:min val="0"/>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058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[sales_dashboard.xlsx]Revenue by month!PivotTable6</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00F2FE"/>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F2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B82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month'!$B$3</c:f>
              <c:strCache>
                <c:ptCount val="1"/>
                <c:pt idx="0">
                  <c:v>Total</c:v>
                </c:pt>
              </c:strCache>
            </c:strRef>
          </c:tx>
          <c:spPr>
            <a:ln w="28575" cap="rnd">
              <a:solidFill>
                <a:srgbClr val="3B82FF"/>
              </a:solidFill>
              <a:round/>
            </a:ln>
            <a:effectLst/>
          </c:spPr>
          <c:marker>
            <c:symbol val="none"/>
          </c:marker>
          <c:cat>
            <c:strRef>
              <c:f>'Revenue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month'!$B$4:$B$16</c:f>
              <c:numCache>
                <c:formatCode>_("₹"* #,##0.00_);_("₹"* \(#,##0.00\);_("₹"* "-"??_);_(@_)</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429A-4D05-8CE4-F8A1C13725B1}"/>
            </c:ext>
          </c:extLst>
        </c:ser>
        <c:dLbls>
          <c:showLegendKey val="0"/>
          <c:showVal val="0"/>
          <c:showCatName val="0"/>
          <c:showSerName val="0"/>
          <c:showPercent val="0"/>
          <c:showBubbleSize val="0"/>
        </c:dLbls>
        <c:smooth val="0"/>
        <c:axId val="1552449583"/>
        <c:axId val="1558043007"/>
      </c:lineChart>
      <c:catAx>
        <c:axId val="155244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8043007"/>
        <c:crosses val="autoZero"/>
        <c:auto val="1"/>
        <c:lblAlgn val="ctr"/>
        <c:lblOffset val="100"/>
        <c:noMultiLvlLbl val="0"/>
      </c:catAx>
      <c:valAx>
        <c:axId val="1558043007"/>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244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Product preference Across Age Demographics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6B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F2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A8C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s>
    <c:plotArea>
      <c:layout/>
      <c:barChart>
        <c:barDir val="bar"/>
        <c:grouping val="percentStacked"/>
        <c:varyColors val="0"/>
        <c:dLbls>
          <c:showLegendKey val="0"/>
          <c:showVal val="0"/>
          <c:showCatName val="0"/>
          <c:showSerName val="0"/>
          <c:showPercent val="0"/>
          <c:showBubbleSize val="0"/>
        </c:dLbls>
        <c:gapWidth val="150"/>
        <c:overlap val="100"/>
        <c:axId val="1598320527"/>
        <c:axId val="1558021887"/>
      </c:barChart>
      <c:catAx>
        <c:axId val="159832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8021887"/>
        <c:crosses val="autoZero"/>
        <c:auto val="1"/>
        <c:lblAlgn val="ctr"/>
        <c:lblOffset val="100"/>
        <c:noMultiLvlLbl val="0"/>
      </c:catAx>
      <c:valAx>
        <c:axId val="155802188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832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[sales_dashboard.xlsx]Sheet1!PivotTable1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t>Product preference Across Age Demographic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F2F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4169E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6B6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45603674540684"/>
          <c:y val="0.15319444444444447"/>
          <c:w val="0.70106671041119861"/>
          <c:h val="0.72088764946048411"/>
        </c:manualLayout>
      </c:layout>
      <c:barChart>
        <c:barDir val="col"/>
        <c:grouping val="percentStacked"/>
        <c:varyColors val="0"/>
        <c:ser>
          <c:idx val="0"/>
          <c:order val="0"/>
          <c:tx>
            <c:strRef>
              <c:f>Sheet1!$B$3:$B$4</c:f>
              <c:strCache>
                <c:ptCount val="1"/>
                <c:pt idx="0">
                  <c:v>Beauty</c:v>
                </c:pt>
              </c:strCache>
            </c:strRef>
          </c:tx>
          <c:spPr>
            <a:solidFill>
              <a:srgbClr val="00F2FE"/>
            </a:solidFill>
            <a:ln>
              <a:noFill/>
            </a:ln>
            <a:effectLst/>
          </c:spPr>
          <c:invertIfNegative val="0"/>
          <c:cat>
            <c:strRef>
              <c:f>Sheet1!$A$5:$A$9</c:f>
              <c:strCache>
                <c:ptCount val="4"/>
                <c:pt idx="0">
                  <c:v>18-25</c:v>
                </c:pt>
                <c:pt idx="1">
                  <c:v>26-35</c:v>
                </c:pt>
                <c:pt idx="2">
                  <c:v>36-45</c:v>
                </c:pt>
                <c:pt idx="3">
                  <c:v>46-64</c:v>
                </c:pt>
              </c:strCache>
            </c:strRef>
          </c:cat>
          <c:val>
            <c:numRef>
              <c:f>Sheet1!$B$5:$B$9</c:f>
              <c:numCache>
                <c:formatCode>General</c:formatCode>
                <c:ptCount val="4"/>
                <c:pt idx="0">
                  <c:v>60</c:v>
                </c:pt>
                <c:pt idx="1">
                  <c:v>67</c:v>
                </c:pt>
                <c:pt idx="2">
                  <c:v>54</c:v>
                </c:pt>
                <c:pt idx="3">
                  <c:v>126</c:v>
                </c:pt>
              </c:numCache>
            </c:numRef>
          </c:val>
          <c:extLst>
            <c:ext xmlns:c16="http://schemas.microsoft.com/office/drawing/2014/chart" uri="{C3380CC4-5D6E-409C-BE32-E72D297353CC}">
              <c16:uniqueId val="{00000000-D53E-473D-8EF6-6370169C424B}"/>
            </c:ext>
          </c:extLst>
        </c:ser>
        <c:ser>
          <c:idx val="1"/>
          <c:order val="1"/>
          <c:tx>
            <c:strRef>
              <c:f>Sheet1!$C$3:$C$4</c:f>
              <c:strCache>
                <c:ptCount val="1"/>
                <c:pt idx="0">
                  <c:v>Clothing</c:v>
                </c:pt>
              </c:strCache>
            </c:strRef>
          </c:tx>
          <c:spPr>
            <a:solidFill>
              <a:srgbClr val="4169E1"/>
            </a:solidFill>
            <a:ln>
              <a:noFill/>
            </a:ln>
            <a:effectLst/>
          </c:spPr>
          <c:invertIfNegative val="0"/>
          <c:cat>
            <c:strRef>
              <c:f>Sheet1!$A$5:$A$9</c:f>
              <c:strCache>
                <c:ptCount val="4"/>
                <c:pt idx="0">
                  <c:v>18-25</c:v>
                </c:pt>
                <c:pt idx="1">
                  <c:v>26-35</c:v>
                </c:pt>
                <c:pt idx="2">
                  <c:v>36-45</c:v>
                </c:pt>
                <c:pt idx="3">
                  <c:v>46-64</c:v>
                </c:pt>
              </c:strCache>
            </c:strRef>
          </c:cat>
          <c:val>
            <c:numRef>
              <c:f>Sheet1!$C$5:$C$9</c:f>
              <c:numCache>
                <c:formatCode>General</c:formatCode>
                <c:ptCount val="4"/>
                <c:pt idx="0">
                  <c:v>51</c:v>
                </c:pt>
                <c:pt idx="1">
                  <c:v>74</c:v>
                </c:pt>
                <c:pt idx="2">
                  <c:v>76</c:v>
                </c:pt>
                <c:pt idx="3">
                  <c:v>150</c:v>
                </c:pt>
              </c:numCache>
            </c:numRef>
          </c:val>
          <c:extLst>
            <c:ext xmlns:c16="http://schemas.microsoft.com/office/drawing/2014/chart" uri="{C3380CC4-5D6E-409C-BE32-E72D297353CC}">
              <c16:uniqueId val="{0000000B-D53E-473D-8EF6-6370169C424B}"/>
            </c:ext>
          </c:extLst>
        </c:ser>
        <c:ser>
          <c:idx val="2"/>
          <c:order val="2"/>
          <c:tx>
            <c:strRef>
              <c:f>Sheet1!$D$3:$D$4</c:f>
              <c:strCache>
                <c:ptCount val="1"/>
                <c:pt idx="0">
                  <c:v>Electronics</c:v>
                </c:pt>
              </c:strCache>
            </c:strRef>
          </c:tx>
          <c:spPr>
            <a:solidFill>
              <a:srgbClr val="FF6B6B"/>
            </a:solidFill>
            <a:ln>
              <a:noFill/>
            </a:ln>
            <a:effectLst/>
          </c:spPr>
          <c:invertIfNegative val="0"/>
          <c:cat>
            <c:strRef>
              <c:f>Sheet1!$A$5:$A$9</c:f>
              <c:strCache>
                <c:ptCount val="4"/>
                <c:pt idx="0">
                  <c:v>18-25</c:v>
                </c:pt>
                <c:pt idx="1">
                  <c:v>26-35</c:v>
                </c:pt>
                <c:pt idx="2">
                  <c:v>36-45</c:v>
                </c:pt>
                <c:pt idx="3">
                  <c:v>46-64</c:v>
                </c:pt>
              </c:strCache>
            </c:strRef>
          </c:cat>
          <c:val>
            <c:numRef>
              <c:f>Sheet1!$D$5:$D$9</c:f>
              <c:numCache>
                <c:formatCode>General</c:formatCode>
                <c:ptCount val="4"/>
                <c:pt idx="0">
                  <c:v>58</c:v>
                </c:pt>
                <c:pt idx="1">
                  <c:v>64</c:v>
                </c:pt>
                <c:pt idx="2">
                  <c:v>72</c:v>
                </c:pt>
                <c:pt idx="3">
                  <c:v>148</c:v>
                </c:pt>
              </c:numCache>
            </c:numRef>
          </c:val>
          <c:extLst>
            <c:ext xmlns:c16="http://schemas.microsoft.com/office/drawing/2014/chart" uri="{C3380CC4-5D6E-409C-BE32-E72D297353CC}">
              <c16:uniqueId val="{0000000C-D53E-473D-8EF6-6370169C424B}"/>
            </c:ext>
          </c:extLst>
        </c:ser>
        <c:dLbls>
          <c:showLegendKey val="0"/>
          <c:showVal val="0"/>
          <c:showCatName val="0"/>
          <c:showSerName val="0"/>
          <c:showPercent val="0"/>
          <c:showBubbleSize val="0"/>
        </c:dLbls>
        <c:gapWidth val="150"/>
        <c:overlap val="100"/>
        <c:axId val="1386108640"/>
        <c:axId val="1257076992"/>
      </c:barChart>
      <c:catAx>
        <c:axId val="138610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7076992"/>
        <c:crosses val="autoZero"/>
        <c:auto val="1"/>
        <c:lblAlgn val="ctr"/>
        <c:lblOffset val="100"/>
        <c:noMultiLvlLbl val="0"/>
      </c:catAx>
      <c:valAx>
        <c:axId val="12570769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6108640"/>
        <c:crosses val="autoZero"/>
        <c:crossBetween val="between"/>
      </c:valAx>
      <c:spPr>
        <a:noFill/>
        <a:ln>
          <a:noFill/>
        </a:ln>
        <a:effectLst/>
      </c:spPr>
    </c:plotArea>
    <c:legend>
      <c:legendPos val="r"/>
      <c:layout>
        <c:manualLayout>
          <c:xMode val="edge"/>
          <c:yMode val="edge"/>
          <c:x val="3.6358965767576967E-2"/>
          <c:y val="0.60470850234629758"/>
          <c:w val="0.14160763326568626"/>
          <c:h val="0.167911666839468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jp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504825</xdr:colOff>
      <xdr:row>1</xdr:row>
      <xdr:rowOff>185737</xdr:rowOff>
    </xdr:from>
    <xdr:to>
      <xdr:col>11</xdr:col>
      <xdr:colOff>200025</xdr:colOff>
      <xdr:row>16</xdr:row>
      <xdr:rowOff>71437</xdr:rowOff>
    </xdr:to>
    <xdr:graphicFrame macro="">
      <xdr:nvGraphicFramePr>
        <xdr:cNvPr id="2" name="Chart 1">
          <a:extLst>
            <a:ext uri="{FF2B5EF4-FFF2-40B4-BE49-F238E27FC236}">
              <a16:creationId xmlns:a16="http://schemas.microsoft.com/office/drawing/2014/main" id="{B00D7117-DCE5-7C1A-CA8F-F2F17595B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504825</xdr:colOff>
      <xdr:row>3</xdr:row>
      <xdr:rowOff>90487</xdr:rowOff>
    </xdr:from>
    <xdr:to>
      <xdr:col>12</xdr:col>
      <xdr:colOff>200025</xdr:colOff>
      <xdr:row>17</xdr:row>
      <xdr:rowOff>166687</xdr:rowOff>
    </xdr:to>
    <xdr:graphicFrame macro="">
      <xdr:nvGraphicFramePr>
        <xdr:cNvPr id="2" name="Chart 1">
          <a:extLst>
            <a:ext uri="{FF2B5EF4-FFF2-40B4-BE49-F238E27FC236}">
              <a16:creationId xmlns:a16="http://schemas.microsoft.com/office/drawing/2014/main" id="{3E375D66-BEFF-0AD2-28D3-B99BD1AD5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638174</xdr:colOff>
      <xdr:row>1</xdr:row>
      <xdr:rowOff>138111</xdr:rowOff>
    </xdr:from>
    <xdr:to>
      <xdr:col>9</xdr:col>
      <xdr:colOff>466724</xdr:colOff>
      <xdr:row>17</xdr:row>
      <xdr:rowOff>19050</xdr:rowOff>
    </xdr:to>
    <xdr:graphicFrame macro="">
      <xdr:nvGraphicFramePr>
        <xdr:cNvPr id="2" name="Chart 1">
          <a:extLst>
            <a:ext uri="{FF2B5EF4-FFF2-40B4-BE49-F238E27FC236}">
              <a16:creationId xmlns:a16="http://schemas.microsoft.com/office/drawing/2014/main" id="{49BFE22E-9474-25F9-498A-EB0A39A65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504825</xdr:colOff>
      <xdr:row>2</xdr:row>
      <xdr:rowOff>42862</xdr:rowOff>
    </xdr:from>
    <xdr:to>
      <xdr:col>12</xdr:col>
      <xdr:colOff>200025</xdr:colOff>
      <xdr:row>16</xdr:row>
      <xdr:rowOff>119062</xdr:rowOff>
    </xdr:to>
    <xdr:graphicFrame macro="">
      <xdr:nvGraphicFramePr>
        <xdr:cNvPr id="2" name="Chart 1">
          <a:extLst>
            <a:ext uri="{FF2B5EF4-FFF2-40B4-BE49-F238E27FC236}">
              <a16:creationId xmlns:a16="http://schemas.microsoft.com/office/drawing/2014/main" id="{1D78A07A-2E69-F9BD-1F2C-713E5FE406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495300</xdr:colOff>
      <xdr:row>5</xdr:row>
      <xdr:rowOff>85725</xdr:rowOff>
    </xdr:from>
    <xdr:to>
      <xdr:col>14</xdr:col>
      <xdr:colOff>495300</xdr:colOff>
      <xdr:row>18</xdr:row>
      <xdr:rowOff>133350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509C1FEA-224F-CA82-06CB-1D1C7C72340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420100" y="1038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183776</xdr:colOff>
      <xdr:row>30</xdr:row>
      <xdr:rowOff>21011</xdr:rowOff>
    </xdr:from>
    <xdr:to>
      <xdr:col>33</xdr:col>
      <xdr:colOff>155202</xdr:colOff>
      <xdr:row>44</xdr:row>
      <xdr:rowOff>97211</xdr:rowOff>
    </xdr:to>
    <xdr:graphicFrame macro="">
      <xdr:nvGraphicFramePr>
        <xdr:cNvPr id="2" name="Chart 1">
          <a:extLst>
            <a:ext uri="{FF2B5EF4-FFF2-40B4-BE49-F238E27FC236}">
              <a16:creationId xmlns:a16="http://schemas.microsoft.com/office/drawing/2014/main" id="{3166031A-E7AF-0B20-0367-C8D1D50B1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162485</xdr:colOff>
      <xdr:row>6</xdr:row>
      <xdr:rowOff>68355</xdr:rowOff>
    </xdr:from>
    <xdr:to>
      <xdr:col>30</xdr:col>
      <xdr:colOff>95250</xdr:colOff>
      <xdr:row>20</xdr:row>
      <xdr:rowOff>144555</xdr:rowOff>
    </xdr:to>
    <xdr:graphicFrame macro="">
      <xdr:nvGraphicFramePr>
        <xdr:cNvPr id="3" name="Chart 2">
          <a:extLst>
            <a:ext uri="{FF2B5EF4-FFF2-40B4-BE49-F238E27FC236}">
              <a16:creationId xmlns:a16="http://schemas.microsoft.com/office/drawing/2014/main" id="{3E120593-2948-72AF-45CB-1FA0D2F3B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352425</xdr:colOff>
      <xdr:row>3</xdr:row>
      <xdr:rowOff>185737</xdr:rowOff>
    </xdr:from>
    <xdr:to>
      <xdr:col>13</xdr:col>
      <xdr:colOff>47625</xdr:colOff>
      <xdr:row>18</xdr:row>
      <xdr:rowOff>71437</xdr:rowOff>
    </xdr:to>
    <xdr:graphicFrame macro="">
      <xdr:nvGraphicFramePr>
        <xdr:cNvPr id="2" name="Chart 1">
          <a:extLst>
            <a:ext uri="{FF2B5EF4-FFF2-40B4-BE49-F238E27FC236}">
              <a16:creationId xmlns:a16="http://schemas.microsoft.com/office/drawing/2014/main" id="{3CBCD6C4-1E41-FB53-1F27-0A429BDE2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28575</xdr:colOff>
      <xdr:row>0</xdr:row>
      <xdr:rowOff>19050</xdr:rowOff>
    </xdr:from>
    <xdr:to>
      <xdr:col>22</xdr:col>
      <xdr:colOff>247650</xdr:colOff>
      <xdr:row>29</xdr:row>
      <xdr:rowOff>152399</xdr:rowOff>
    </xdr:to>
    <xdr:sp macro="" textlink="">
      <xdr:nvSpPr>
        <xdr:cNvPr id="18" name="Rectangle 17">
          <a:extLst>
            <a:ext uri="{FF2B5EF4-FFF2-40B4-BE49-F238E27FC236}">
              <a16:creationId xmlns:a16="http://schemas.microsoft.com/office/drawing/2014/main" id="{C95BCB6F-9D24-8A38-836B-26C8FFA15F28}"/>
            </a:ext>
          </a:extLst>
        </xdr:cNvPr>
        <xdr:cNvSpPr/>
      </xdr:nvSpPr>
      <xdr:spPr>
        <a:xfrm>
          <a:off x="28575" y="19050"/>
          <a:ext cx="13630275" cy="5800724"/>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latin typeface="Aptos Display" panose="020B0004020202020204" pitchFamily="34" charset="0"/>
            </a:rPr>
            <a:t>Sales </a:t>
          </a:r>
          <a:r>
            <a:rPr lang="en-IN" sz="1800" b="1">
              <a:solidFill>
                <a:schemeClr val="lt1"/>
              </a:solidFill>
              <a:latin typeface="Aptos Display" panose="020B0004020202020204" pitchFamily="34" charset="0"/>
              <a:ea typeface="+mn-ea"/>
              <a:cs typeface="+mn-cs"/>
            </a:rPr>
            <a:t>Analysis</a:t>
          </a:r>
          <a:r>
            <a:rPr lang="en-IN" sz="1800" b="1">
              <a:latin typeface="Aptos Display" panose="020B0004020202020204" pitchFamily="34" charset="0"/>
            </a:rPr>
            <a:t> Dashboard</a:t>
          </a:r>
        </a:p>
      </xdr:txBody>
    </xdr:sp>
    <xdr:clientData/>
  </xdr:twoCellAnchor>
  <xdr:twoCellAnchor editAs="absolute">
    <xdr:from>
      <xdr:col>0</xdr:col>
      <xdr:colOff>409575</xdr:colOff>
      <xdr:row>1</xdr:row>
      <xdr:rowOff>114300</xdr:rowOff>
    </xdr:from>
    <xdr:to>
      <xdr:col>3</xdr:col>
      <xdr:colOff>33132</xdr:colOff>
      <xdr:row>6</xdr:row>
      <xdr:rowOff>16566</xdr:rowOff>
    </xdr:to>
    <xdr:grpSp>
      <xdr:nvGrpSpPr>
        <xdr:cNvPr id="4" name="Group 3">
          <a:extLst>
            <a:ext uri="{FF2B5EF4-FFF2-40B4-BE49-F238E27FC236}">
              <a16:creationId xmlns:a16="http://schemas.microsoft.com/office/drawing/2014/main" id="{A45987D3-1340-0EB3-C1A8-88F59D3CE92E}"/>
            </a:ext>
          </a:extLst>
        </xdr:cNvPr>
        <xdr:cNvGrpSpPr/>
      </xdr:nvGrpSpPr>
      <xdr:grpSpPr>
        <a:xfrm>
          <a:off x="409575" y="447675"/>
          <a:ext cx="1452357" cy="854766"/>
          <a:chOff x="876299" y="742949"/>
          <a:chExt cx="1905001" cy="695325"/>
        </a:xfrm>
        <a:solidFill>
          <a:srgbClr val="2B285E"/>
        </a:solidFill>
        <a:effectLst>
          <a:outerShdw blurRad="50800" dist="38100" dir="5400000" algn="t" rotWithShape="0">
            <a:prstClr val="black">
              <a:alpha val="40000"/>
            </a:prstClr>
          </a:outerShdw>
        </a:effectLst>
      </xdr:grpSpPr>
      <xdr:sp macro="" textlink="Metrices!D3">
        <xdr:nvSpPr>
          <xdr:cNvPr id="2" name="Rectangle: Rounded Corners 1">
            <a:extLst>
              <a:ext uri="{FF2B5EF4-FFF2-40B4-BE49-F238E27FC236}">
                <a16:creationId xmlns:a16="http://schemas.microsoft.com/office/drawing/2014/main" id="{0E1B146D-86ED-BABB-1F9B-EDACEE9A5829}"/>
              </a:ext>
            </a:extLst>
          </xdr:cNvPr>
          <xdr:cNvSpPr/>
        </xdr:nvSpPr>
        <xdr:spPr>
          <a:xfrm>
            <a:off x="876299" y="742949"/>
            <a:ext cx="1905001" cy="695325"/>
          </a:xfrm>
          <a:prstGeom prst="roundRect">
            <a:avLst/>
          </a:prstGeom>
          <a:no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605A838-6A7D-4A59-8CDE-3BB88A830A38}" type="TxLink">
              <a:rPr lang="en-US" sz="18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 ₹ 4,56,000 </a:t>
            </a:fld>
            <a:endParaRPr lang="en-IN" sz="1800" b="0" cap="none" spc="0">
              <a:ln w="0"/>
              <a:solidFill>
                <a:schemeClr val="bg1"/>
              </a:solidFill>
              <a:effectLst>
                <a:outerShdw blurRad="38100" dist="19050" dir="2700000" algn="tl" rotWithShape="0">
                  <a:schemeClr val="dk1">
                    <a:alpha val="40000"/>
                  </a:schemeClr>
                </a:outerShdw>
              </a:effectLst>
              <a:latin typeface="Aptos Display" panose="020B0004020202020204" pitchFamily="34" charset="0"/>
            </a:endParaRPr>
          </a:p>
        </xdr:txBody>
      </xdr:sp>
      <xdr:sp macro="" textlink="">
        <xdr:nvSpPr>
          <xdr:cNvPr id="3" name="Rectangle: Rounded Corners 2">
            <a:extLst>
              <a:ext uri="{FF2B5EF4-FFF2-40B4-BE49-F238E27FC236}">
                <a16:creationId xmlns:a16="http://schemas.microsoft.com/office/drawing/2014/main" id="{514E9C17-EFE5-7208-DA21-07131B8B3660}"/>
              </a:ext>
            </a:extLst>
          </xdr:cNvPr>
          <xdr:cNvSpPr/>
        </xdr:nvSpPr>
        <xdr:spPr>
          <a:xfrm>
            <a:off x="1163651" y="1171577"/>
            <a:ext cx="1349306" cy="160242"/>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a:solidFill>
                  <a:schemeClr val="bg1"/>
                </a:solidFill>
              </a:rPr>
              <a:t>Revenue</a:t>
            </a:r>
            <a:endParaRPr lang="en-IN" sz="1200" b="0">
              <a:solidFill>
                <a:schemeClr val="bg1"/>
              </a:solidFill>
              <a:latin typeface="+mn-lt"/>
            </a:endParaRPr>
          </a:p>
        </xdr:txBody>
      </xdr:sp>
    </xdr:grpSp>
    <xdr:clientData/>
  </xdr:twoCellAnchor>
  <xdr:twoCellAnchor editAs="absolute">
    <xdr:from>
      <xdr:col>3</xdr:col>
      <xdr:colOff>221561</xdr:colOff>
      <xdr:row>1</xdr:row>
      <xdr:rowOff>109331</xdr:rowOff>
    </xdr:from>
    <xdr:to>
      <xdr:col>5</xdr:col>
      <xdr:colOff>455544</xdr:colOff>
      <xdr:row>6</xdr:row>
      <xdr:rowOff>24848</xdr:rowOff>
    </xdr:to>
    <xdr:grpSp>
      <xdr:nvGrpSpPr>
        <xdr:cNvPr id="11" name="Group 10">
          <a:extLst>
            <a:ext uri="{FF2B5EF4-FFF2-40B4-BE49-F238E27FC236}">
              <a16:creationId xmlns:a16="http://schemas.microsoft.com/office/drawing/2014/main" id="{99955E75-0721-49E9-B617-72D48CCDDF98}"/>
            </a:ext>
          </a:extLst>
        </xdr:cNvPr>
        <xdr:cNvGrpSpPr/>
      </xdr:nvGrpSpPr>
      <xdr:grpSpPr>
        <a:xfrm>
          <a:off x="2050361" y="442706"/>
          <a:ext cx="1453183" cy="868017"/>
          <a:chOff x="876299" y="742949"/>
          <a:chExt cx="1905001" cy="695325"/>
        </a:xfrm>
        <a:solidFill>
          <a:srgbClr val="2B285E"/>
        </a:solidFill>
        <a:effectLst>
          <a:outerShdw blurRad="50800" dist="38100" dir="2700000" algn="tl" rotWithShape="0">
            <a:prstClr val="black">
              <a:alpha val="40000"/>
            </a:prstClr>
          </a:outerShdw>
        </a:effectLst>
      </xdr:grpSpPr>
      <xdr:sp macro="" textlink="Metrices!D4">
        <xdr:nvSpPr>
          <xdr:cNvPr id="12" name="Rectangle: Rounded Corners 11">
            <a:extLst>
              <a:ext uri="{FF2B5EF4-FFF2-40B4-BE49-F238E27FC236}">
                <a16:creationId xmlns:a16="http://schemas.microsoft.com/office/drawing/2014/main" id="{F6C91362-95AB-CC2B-3DE2-36C9B43D3EA4}"/>
              </a:ext>
            </a:extLst>
          </xdr:cNvPr>
          <xdr:cNvSpPr/>
        </xdr:nvSpPr>
        <xdr:spPr>
          <a:xfrm>
            <a:off x="876299" y="742949"/>
            <a:ext cx="1905001" cy="695325"/>
          </a:xfrm>
          <a:prstGeom prst="roundRect">
            <a:avLst/>
          </a:prstGeom>
          <a:noFill/>
          <a:ln>
            <a:solidFill>
              <a:schemeClr val="bg1">
                <a:lumMod val="9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A1EAE0A3-C42C-48CB-B772-374B25742D94}" type="TxLink">
              <a:rPr lang="en-US" sz="18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 2,514 </a:t>
            </a:fld>
            <a:endParaRPr lang="en-IN" sz="1800" b="0" cap="none" spc="0">
              <a:ln w="0"/>
              <a:solidFill>
                <a:schemeClr val="bg1"/>
              </a:solidFill>
              <a:effectLst>
                <a:outerShdw blurRad="38100" dist="19050" dir="2700000" algn="tl" rotWithShape="0">
                  <a:schemeClr val="dk1">
                    <a:alpha val="40000"/>
                  </a:schemeClr>
                </a:outerShdw>
              </a:effectLst>
              <a:latin typeface="Aptos Display" panose="020B0004020202020204" pitchFamily="34" charset="0"/>
            </a:endParaRPr>
          </a:p>
        </xdr:txBody>
      </xdr:sp>
      <xdr:sp macro="" textlink="">
        <xdr:nvSpPr>
          <xdr:cNvPr id="13" name="Rectangle: Rounded Corners 12">
            <a:extLst>
              <a:ext uri="{FF2B5EF4-FFF2-40B4-BE49-F238E27FC236}">
                <a16:creationId xmlns:a16="http://schemas.microsoft.com/office/drawing/2014/main" id="{BE510B37-1676-0AF4-75DF-D71CD9F4CB27}"/>
              </a:ext>
            </a:extLst>
          </xdr:cNvPr>
          <xdr:cNvSpPr/>
        </xdr:nvSpPr>
        <xdr:spPr>
          <a:xfrm>
            <a:off x="1222212" y="1178645"/>
            <a:ext cx="1162626" cy="161392"/>
          </a:xfrm>
          <a:prstGeom prst="roundRect">
            <a:avLst>
              <a:gd name="adj" fmla="val 50000"/>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0">
                <a:solidFill>
                  <a:schemeClr val="bg1"/>
                </a:solidFill>
                <a:latin typeface="+mn-lt"/>
              </a:rPr>
              <a:t>Units Sold</a:t>
            </a:r>
          </a:p>
        </xdr:txBody>
      </xdr:sp>
    </xdr:grpSp>
    <xdr:clientData/>
  </xdr:twoCellAnchor>
  <xdr:twoCellAnchor editAs="absolute">
    <xdr:from>
      <xdr:col>6</xdr:col>
      <xdr:colOff>83656</xdr:colOff>
      <xdr:row>1</xdr:row>
      <xdr:rowOff>132521</xdr:rowOff>
    </xdr:from>
    <xdr:to>
      <xdr:col>8</xdr:col>
      <xdr:colOff>306458</xdr:colOff>
      <xdr:row>6</xdr:row>
      <xdr:rowOff>8282</xdr:rowOff>
    </xdr:to>
    <xdr:grpSp>
      <xdr:nvGrpSpPr>
        <xdr:cNvPr id="14" name="Group 13">
          <a:extLst>
            <a:ext uri="{FF2B5EF4-FFF2-40B4-BE49-F238E27FC236}">
              <a16:creationId xmlns:a16="http://schemas.microsoft.com/office/drawing/2014/main" id="{3C2A9AD2-62AD-44BE-811D-57BA0C56E0D7}"/>
            </a:ext>
          </a:extLst>
        </xdr:cNvPr>
        <xdr:cNvGrpSpPr/>
      </xdr:nvGrpSpPr>
      <xdr:grpSpPr>
        <a:xfrm>
          <a:off x="3741256" y="465896"/>
          <a:ext cx="1442002" cy="828261"/>
          <a:chOff x="876299" y="742949"/>
          <a:chExt cx="1905001" cy="695325"/>
        </a:xfrm>
        <a:noFill/>
        <a:effectLst>
          <a:outerShdw blurRad="50800" dist="38100" dir="2700000" algn="tl" rotWithShape="0">
            <a:prstClr val="black">
              <a:alpha val="40000"/>
            </a:prstClr>
          </a:outerShdw>
        </a:effectLst>
      </xdr:grpSpPr>
      <xdr:sp macro="" textlink="Metrices!D5">
        <xdr:nvSpPr>
          <xdr:cNvPr id="15" name="Rectangle: Rounded Corners 14">
            <a:extLst>
              <a:ext uri="{FF2B5EF4-FFF2-40B4-BE49-F238E27FC236}">
                <a16:creationId xmlns:a16="http://schemas.microsoft.com/office/drawing/2014/main" id="{7535087F-E321-1F2E-E33F-1C3527153502}"/>
              </a:ext>
            </a:extLst>
          </xdr:cNvPr>
          <xdr:cNvSpPr/>
        </xdr:nvSpPr>
        <xdr:spPr>
          <a:xfrm>
            <a:off x="876299" y="742949"/>
            <a:ext cx="1905001" cy="695325"/>
          </a:xfrm>
          <a:prstGeom prst="roundRect">
            <a:avLst/>
          </a:prstGeom>
          <a:grp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36107CEC-1831-4E58-B869-87CC6C1FB4A0}" type="TxLink">
              <a:rPr lang="en-US" sz="18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456</a:t>
            </a:fld>
            <a:endParaRPr lang="en-IN" sz="1800" b="0" cap="none" spc="0">
              <a:ln w="0"/>
              <a:solidFill>
                <a:schemeClr val="bg1"/>
              </a:solidFill>
              <a:effectLst>
                <a:outerShdw blurRad="38100" dist="19050" dir="2700000" algn="tl" rotWithShape="0">
                  <a:schemeClr val="dk1">
                    <a:alpha val="40000"/>
                  </a:schemeClr>
                </a:outerShdw>
              </a:effectLst>
              <a:latin typeface="Aptos Display" panose="020B0004020202020204" pitchFamily="34" charset="0"/>
            </a:endParaRPr>
          </a:p>
        </xdr:txBody>
      </xdr:sp>
      <xdr:sp macro="" textlink="">
        <xdr:nvSpPr>
          <xdr:cNvPr id="16" name="Rectangle: Rounded Corners 15">
            <a:extLst>
              <a:ext uri="{FF2B5EF4-FFF2-40B4-BE49-F238E27FC236}">
                <a16:creationId xmlns:a16="http://schemas.microsoft.com/office/drawing/2014/main" id="{34BE935D-C4A5-EC87-1A7F-C1E9950505A9}"/>
              </a:ext>
            </a:extLst>
          </xdr:cNvPr>
          <xdr:cNvSpPr/>
        </xdr:nvSpPr>
        <xdr:spPr>
          <a:xfrm>
            <a:off x="1190625" y="1171577"/>
            <a:ext cx="1190624" cy="200024"/>
          </a:xfrm>
          <a:prstGeom prst="round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0">
                <a:solidFill>
                  <a:schemeClr val="bg1"/>
                </a:solidFill>
                <a:latin typeface="+mn-lt"/>
              </a:rPr>
              <a:t>Avg</a:t>
            </a:r>
            <a:r>
              <a:rPr lang="en-IN" sz="1200" b="0" baseline="0">
                <a:solidFill>
                  <a:schemeClr val="bg1"/>
                </a:solidFill>
                <a:latin typeface="+mn-lt"/>
              </a:rPr>
              <a:t>Order Value</a:t>
            </a:r>
            <a:endParaRPr lang="en-IN" sz="1200" b="0">
              <a:solidFill>
                <a:schemeClr val="bg1"/>
              </a:solidFill>
              <a:latin typeface="+mn-lt"/>
            </a:endParaRPr>
          </a:p>
        </xdr:txBody>
      </xdr:sp>
    </xdr:grpSp>
    <xdr:clientData/>
  </xdr:twoCellAnchor>
  <xdr:twoCellAnchor editAs="absolute">
    <xdr:from>
      <xdr:col>6</xdr:col>
      <xdr:colOff>165238</xdr:colOff>
      <xdr:row>13</xdr:row>
      <xdr:rowOff>190499</xdr:rowOff>
    </xdr:from>
    <xdr:to>
      <xdr:col>12</xdr:col>
      <xdr:colOff>371475</xdr:colOff>
      <xdr:row>28</xdr:row>
      <xdr:rowOff>47624</xdr:rowOff>
    </xdr:to>
    <xdr:graphicFrame macro="">
      <xdr:nvGraphicFramePr>
        <xdr:cNvPr id="17" name="Chart 16">
          <a:extLst>
            <a:ext uri="{FF2B5EF4-FFF2-40B4-BE49-F238E27FC236}">
              <a16:creationId xmlns:a16="http://schemas.microsoft.com/office/drawing/2014/main" id="{9706D8E2-31A1-4E9C-8921-5FA354300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0</xdr:colOff>
      <xdr:row>6</xdr:row>
      <xdr:rowOff>104775</xdr:rowOff>
    </xdr:from>
    <xdr:to>
      <xdr:col>6</xdr:col>
      <xdr:colOff>476250</xdr:colOff>
      <xdr:row>16</xdr:row>
      <xdr:rowOff>171451</xdr:rowOff>
    </xdr:to>
    <xdr:graphicFrame macro="">
      <xdr:nvGraphicFramePr>
        <xdr:cNvPr id="19" name="Chart 18">
          <a:extLst>
            <a:ext uri="{FF2B5EF4-FFF2-40B4-BE49-F238E27FC236}">
              <a16:creationId xmlns:a16="http://schemas.microsoft.com/office/drawing/2014/main" id="{10D3DD98-D456-4309-8001-248B4A335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66676</xdr:colOff>
      <xdr:row>6</xdr:row>
      <xdr:rowOff>104776</xdr:rowOff>
    </xdr:from>
    <xdr:to>
      <xdr:col>12</xdr:col>
      <xdr:colOff>485775</xdr:colOff>
      <xdr:row>14</xdr:row>
      <xdr:rowOff>104776</xdr:rowOff>
    </xdr:to>
    <xdr:graphicFrame macro="">
      <xdr:nvGraphicFramePr>
        <xdr:cNvPr id="20" name="Chart 19">
          <a:extLst>
            <a:ext uri="{FF2B5EF4-FFF2-40B4-BE49-F238E27FC236}">
              <a16:creationId xmlns:a16="http://schemas.microsoft.com/office/drawing/2014/main" id="{CBE237FD-218D-44A7-A613-98E5943EA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142875</xdr:colOff>
      <xdr:row>16</xdr:row>
      <xdr:rowOff>28575</xdr:rowOff>
    </xdr:from>
    <xdr:to>
      <xdr:col>5</xdr:col>
      <xdr:colOff>571500</xdr:colOff>
      <xdr:row>27</xdr:row>
      <xdr:rowOff>152400</xdr:rowOff>
    </xdr:to>
    <xdr:graphicFrame macro="">
      <xdr:nvGraphicFramePr>
        <xdr:cNvPr id="24" name="Chart 23">
          <a:extLst>
            <a:ext uri="{FF2B5EF4-FFF2-40B4-BE49-F238E27FC236}">
              <a16:creationId xmlns:a16="http://schemas.microsoft.com/office/drawing/2014/main" id="{AE0749C0-594A-48F5-940C-73249B8E4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495300</xdr:colOff>
      <xdr:row>12</xdr:row>
      <xdr:rowOff>85725</xdr:rowOff>
    </xdr:from>
    <xdr:to>
      <xdr:col>18</xdr:col>
      <xdr:colOff>104775</xdr:colOff>
      <xdr:row>30</xdr:row>
      <xdr:rowOff>5798</xdr:rowOff>
    </xdr:to>
    <xdr:graphicFrame macro="">
      <xdr:nvGraphicFramePr>
        <xdr:cNvPr id="25" name="Chart 24">
          <a:extLst>
            <a:ext uri="{FF2B5EF4-FFF2-40B4-BE49-F238E27FC236}">
              <a16:creationId xmlns:a16="http://schemas.microsoft.com/office/drawing/2014/main" id="{97E1C823-C42A-4210-9ADA-892E6522E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12</xdr:col>
      <xdr:colOff>314324</xdr:colOff>
      <xdr:row>7</xdr:row>
      <xdr:rowOff>152400</xdr:rowOff>
    </xdr:from>
    <xdr:to>
      <xdr:col>20</xdr:col>
      <xdr:colOff>428625</xdr:colOff>
      <xdr:row>27</xdr:row>
      <xdr:rowOff>171449</xdr:rowOff>
    </xdr:to>
    <xdr:graphicFrame macro="">
      <xdr:nvGraphicFramePr>
        <xdr:cNvPr id="6" name="Chart 5">
          <a:extLst>
            <a:ext uri="{FF2B5EF4-FFF2-40B4-BE49-F238E27FC236}">
              <a16:creationId xmlns:a16="http://schemas.microsoft.com/office/drawing/2014/main" id="{8586D60D-18F0-431D-9672-38DFCE48C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533400</xdr:colOff>
      <xdr:row>0</xdr:row>
      <xdr:rowOff>295275</xdr:rowOff>
    </xdr:from>
    <xdr:to>
      <xdr:col>16</xdr:col>
      <xdr:colOff>66675</xdr:colOff>
      <xdr:row>7</xdr:row>
      <xdr:rowOff>19049</xdr:rowOff>
    </xdr:to>
    <mc:AlternateContent xmlns:mc="http://schemas.openxmlformats.org/markup-compatibility/2006">
      <mc:Choice xmlns:a14="http://schemas.microsoft.com/office/drawing/2010/main" Requires="a14">
        <xdr:graphicFrame macro="">
          <xdr:nvGraphicFramePr>
            <xdr:cNvPr id="8" name="product_category 1">
              <a:extLst>
                <a:ext uri="{FF2B5EF4-FFF2-40B4-BE49-F238E27FC236}">
                  <a16:creationId xmlns:a16="http://schemas.microsoft.com/office/drawing/2014/main" id="{1F1461A3-A808-90EB-EB69-BB5CC218AC32}"/>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6629400" y="295275"/>
              <a:ext cx="3190875" cy="1200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16</xdr:col>
      <xdr:colOff>238125</xdr:colOff>
      <xdr:row>0</xdr:row>
      <xdr:rowOff>247649</xdr:rowOff>
    </xdr:from>
    <xdr:to>
      <xdr:col>19</xdr:col>
      <xdr:colOff>485775</xdr:colOff>
      <xdr:row>6</xdr:row>
      <xdr:rowOff>57149</xdr:rowOff>
    </xdr:to>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95DC7C93-BC4A-4982-F953-EA626234954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991725" y="247649"/>
              <a:ext cx="2076450" cy="109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23.845055439815" createdVersion="8" refreshedVersion="8" minRefreshableVersion="3" recordCount="1000" xr:uid="{98B087C4-1912-4F01-931C-20DCF8AD4B24}">
  <cacheSource type="worksheet">
    <worksheetSource name="Table1"/>
  </cacheSource>
  <cacheFields count="11">
    <cacheField name="date" numFmtId="14">
      <sharedItems containsSemiMixedTypes="0" containsNonDate="0" containsDate="1" containsString="0" minDate="2023-01-01T00:00:00" maxDate="2024-01-02T00:00:00"/>
    </cacheField>
    <cacheField name="customer_id" numFmtId="0">
      <sharedItems count="100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fieldGroup par="10"/>
    </cacheField>
    <cacheField name="product_category" numFmtId="0">
      <sharedItems count="3">
        <s v="Beauty"/>
        <s v="Clothing"/>
        <s v="Electronics"/>
      </sharedItems>
    </cacheField>
    <cacheField name="quantity" numFmtId="0">
      <sharedItems containsSemiMixedTypes="0" containsString="0" containsNumber="1" containsInteger="1" minValue="1" maxValue="4"/>
    </cacheField>
    <cacheField name="price_per_unit" numFmtId="0">
      <sharedItems containsSemiMixedTypes="0" containsString="0" containsNumber="1" containsInteger="1" minValue="25" maxValue="500"/>
    </cacheField>
    <cacheField name="total_amount" numFmtId="0">
      <sharedItems containsSemiMixedTypes="0" containsString="0" containsNumber="1" containsInteger="1" minValue="25" maxValue="2000"/>
    </cacheField>
    <cacheField name="month" numFmtId="0">
      <sharedItems count="12">
        <s v="Nov"/>
        <s v="Feb"/>
        <s v="Jan"/>
        <s v="May"/>
        <s v="Apr"/>
        <s v="Mar"/>
        <s v="Dec"/>
        <s v="Oct"/>
        <s v="Aug"/>
        <s v="Sep"/>
        <s v="Jun"/>
        <s v="Jul"/>
      </sharedItems>
    </cacheField>
    <cacheField name="days" numFmtId="0">
      <sharedItems count="7">
        <s v="Fri"/>
        <s v="Mon"/>
        <s v="Sun"/>
        <s v="Sat"/>
        <s v="Tue"/>
        <s v="Wed"/>
        <s v="Thu"/>
      </sharedItems>
    </cacheField>
    <cacheField name="age2" numFmtId="0" databaseField="0">
      <fieldGroup base="3">
        <discretePr count="47">
          <x v="0"/>
          <x v="0"/>
          <x v="2"/>
          <x v="1"/>
          <x v="0"/>
          <x v="1"/>
          <x v="2"/>
          <x v="2"/>
          <x v="2"/>
          <x v="3"/>
          <x v="0"/>
          <x v="3"/>
          <x v="2"/>
          <x v="1"/>
          <x v="3"/>
          <x v="0"/>
          <x v="2"/>
          <x v="2"/>
          <x v="3"/>
          <x v="2"/>
          <x v="0"/>
          <x v="1"/>
          <x v="1"/>
          <x v="1"/>
          <x v="1"/>
          <x v="2"/>
          <x v="2"/>
          <x v="2"/>
          <x v="2"/>
          <x v="3"/>
          <x v="1"/>
          <x v="2"/>
          <x v="1"/>
          <x v="0"/>
          <x v="3"/>
          <x v="2"/>
          <x v="3"/>
          <x v="2"/>
          <x v="0"/>
          <x v="2"/>
          <x v="0"/>
          <x v="1"/>
          <x v="2"/>
          <x v="2"/>
          <x v="0"/>
          <x v="2"/>
          <x v="3"/>
        </discretePr>
        <groupItems count="4">
          <s v="Group2"/>
          <s v="Group3"/>
          <s v="Group4"/>
          <s v="Group1"/>
        </groupItems>
      </fieldGroup>
    </cacheField>
  </cacheFields>
  <extLst>
    <ext xmlns:x14="http://schemas.microsoft.com/office/spreadsheetml/2009/9/main" uri="{725AE2AE-9491-48be-B2B4-4EB974FC3084}">
      <x14:pivotCacheDefinition pivotCacheId="707807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23-11-24T00:00:00"/>
    <x v="0"/>
    <x v="0"/>
    <x v="0"/>
    <x v="0"/>
    <n v="3"/>
    <n v="50"/>
    <n v="150"/>
    <x v="0"/>
    <x v="0"/>
  </r>
  <r>
    <d v="2023-02-27T00:00:00"/>
    <x v="1"/>
    <x v="1"/>
    <x v="1"/>
    <x v="1"/>
    <n v="2"/>
    <n v="500"/>
    <n v="1000"/>
    <x v="1"/>
    <x v="1"/>
  </r>
  <r>
    <d v="2023-01-13T00:00:00"/>
    <x v="2"/>
    <x v="0"/>
    <x v="2"/>
    <x v="2"/>
    <n v="1"/>
    <n v="30"/>
    <n v="30"/>
    <x v="2"/>
    <x v="0"/>
  </r>
  <r>
    <d v="2023-05-21T00:00:00"/>
    <x v="3"/>
    <x v="0"/>
    <x v="3"/>
    <x v="1"/>
    <n v="1"/>
    <n v="500"/>
    <n v="500"/>
    <x v="3"/>
    <x v="2"/>
  </r>
  <r>
    <d v="2023-05-06T00:00:00"/>
    <x v="4"/>
    <x v="0"/>
    <x v="4"/>
    <x v="0"/>
    <n v="2"/>
    <n v="50"/>
    <n v="100"/>
    <x v="3"/>
    <x v="3"/>
  </r>
  <r>
    <d v="2023-04-25T00:00:00"/>
    <x v="5"/>
    <x v="1"/>
    <x v="5"/>
    <x v="0"/>
    <n v="1"/>
    <n v="30"/>
    <n v="30"/>
    <x v="4"/>
    <x v="4"/>
  </r>
  <r>
    <d v="2023-03-13T00:00:00"/>
    <x v="6"/>
    <x v="0"/>
    <x v="6"/>
    <x v="1"/>
    <n v="2"/>
    <n v="25"/>
    <n v="50"/>
    <x v="5"/>
    <x v="1"/>
  </r>
  <r>
    <d v="2023-02-22T00:00:00"/>
    <x v="7"/>
    <x v="0"/>
    <x v="4"/>
    <x v="2"/>
    <n v="4"/>
    <n v="25"/>
    <n v="100"/>
    <x v="1"/>
    <x v="5"/>
  </r>
  <r>
    <d v="2023-12-13T00:00:00"/>
    <x v="8"/>
    <x v="0"/>
    <x v="7"/>
    <x v="2"/>
    <n v="2"/>
    <n v="300"/>
    <n v="600"/>
    <x v="6"/>
    <x v="5"/>
  </r>
  <r>
    <d v="2023-10-07T00:00:00"/>
    <x v="9"/>
    <x v="1"/>
    <x v="8"/>
    <x v="1"/>
    <n v="4"/>
    <n v="50"/>
    <n v="200"/>
    <x v="7"/>
    <x v="3"/>
  </r>
  <r>
    <d v="2023-02-14T00:00:00"/>
    <x v="10"/>
    <x v="0"/>
    <x v="9"/>
    <x v="1"/>
    <n v="2"/>
    <n v="50"/>
    <n v="100"/>
    <x v="1"/>
    <x v="4"/>
  </r>
  <r>
    <d v="2023-10-30T00:00:00"/>
    <x v="11"/>
    <x v="0"/>
    <x v="10"/>
    <x v="0"/>
    <n v="3"/>
    <n v="25"/>
    <n v="75"/>
    <x v="7"/>
    <x v="1"/>
  </r>
  <r>
    <d v="2023-08-05T00:00:00"/>
    <x v="12"/>
    <x v="0"/>
    <x v="11"/>
    <x v="2"/>
    <n v="3"/>
    <n v="500"/>
    <n v="1500"/>
    <x v="8"/>
    <x v="3"/>
  </r>
  <r>
    <d v="2023-01-17T00:00:00"/>
    <x v="13"/>
    <x v="0"/>
    <x v="12"/>
    <x v="1"/>
    <n v="4"/>
    <n v="30"/>
    <n v="120"/>
    <x v="2"/>
    <x v="4"/>
  </r>
  <r>
    <d v="2023-01-16T00:00:00"/>
    <x v="14"/>
    <x v="1"/>
    <x v="13"/>
    <x v="2"/>
    <n v="4"/>
    <n v="500"/>
    <n v="2000"/>
    <x v="2"/>
    <x v="1"/>
  </r>
  <r>
    <d v="2023-02-17T00:00:00"/>
    <x v="15"/>
    <x v="0"/>
    <x v="14"/>
    <x v="1"/>
    <n v="3"/>
    <n v="500"/>
    <n v="1500"/>
    <x v="1"/>
    <x v="0"/>
  </r>
  <r>
    <d v="2023-04-22T00:00:00"/>
    <x v="16"/>
    <x v="1"/>
    <x v="15"/>
    <x v="1"/>
    <n v="4"/>
    <n v="25"/>
    <n v="100"/>
    <x v="4"/>
    <x v="3"/>
  </r>
  <r>
    <d v="2023-04-30T00:00:00"/>
    <x v="17"/>
    <x v="1"/>
    <x v="16"/>
    <x v="2"/>
    <n v="2"/>
    <n v="25"/>
    <n v="50"/>
    <x v="4"/>
    <x v="2"/>
  </r>
  <r>
    <d v="2023-09-16T00:00:00"/>
    <x v="18"/>
    <x v="1"/>
    <x v="17"/>
    <x v="1"/>
    <n v="2"/>
    <n v="25"/>
    <n v="50"/>
    <x v="9"/>
    <x v="3"/>
  </r>
  <r>
    <d v="2023-11-05T00:00:00"/>
    <x v="19"/>
    <x v="0"/>
    <x v="11"/>
    <x v="1"/>
    <n v="3"/>
    <n v="300"/>
    <n v="900"/>
    <x v="0"/>
    <x v="2"/>
  </r>
  <r>
    <d v="2023-01-14T00:00:00"/>
    <x v="20"/>
    <x v="1"/>
    <x v="2"/>
    <x v="0"/>
    <n v="1"/>
    <n v="500"/>
    <n v="500"/>
    <x v="2"/>
    <x v="3"/>
  </r>
  <r>
    <d v="2023-10-15T00:00:00"/>
    <x v="21"/>
    <x v="0"/>
    <x v="18"/>
    <x v="1"/>
    <n v="2"/>
    <n v="50"/>
    <n v="100"/>
    <x v="7"/>
    <x v="2"/>
  </r>
  <r>
    <d v="2023-04-12T00:00:00"/>
    <x v="22"/>
    <x v="1"/>
    <x v="10"/>
    <x v="1"/>
    <n v="4"/>
    <n v="30"/>
    <n v="120"/>
    <x v="4"/>
    <x v="5"/>
  </r>
  <r>
    <d v="2023-11-29T00:00:00"/>
    <x v="23"/>
    <x v="1"/>
    <x v="19"/>
    <x v="1"/>
    <n v="1"/>
    <n v="300"/>
    <n v="300"/>
    <x v="0"/>
    <x v="5"/>
  </r>
  <r>
    <d v="2023-12-26T00:00:00"/>
    <x v="24"/>
    <x v="1"/>
    <x v="12"/>
    <x v="0"/>
    <n v="1"/>
    <n v="50"/>
    <n v="50"/>
    <x v="6"/>
    <x v="4"/>
  </r>
  <r>
    <d v="2023-10-07T00:00:00"/>
    <x v="25"/>
    <x v="1"/>
    <x v="20"/>
    <x v="2"/>
    <n v="2"/>
    <n v="500"/>
    <n v="1000"/>
    <x v="7"/>
    <x v="3"/>
  </r>
  <r>
    <d v="2023-08-03T00:00:00"/>
    <x v="26"/>
    <x v="1"/>
    <x v="21"/>
    <x v="0"/>
    <n v="2"/>
    <n v="25"/>
    <n v="50"/>
    <x v="8"/>
    <x v="6"/>
  </r>
  <r>
    <d v="2023-04-23T00:00:00"/>
    <x v="27"/>
    <x v="1"/>
    <x v="22"/>
    <x v="0"/>
    <n v="1"/>
    <n v="500"/>
    <n v="500"/>
    <x v="4"/>
    <x v="2"/>
  </r>
  <r>
    <d v="2023-08-18T00:00:00"/>
    <x v="28"/>
    <x v="1"/>
    <x v="13"/>
    <x v="2"/>
    <n v="1"/>
    <n v="30"/>
    <n v="30"/>
    <x v="8"/>
    <x v="0"/>
  </r>
  <r>
    <d v="2023-10-29T00:00:00"/>
    <x v="29"/>
    <x v="1"/>
    <x v="23"/>
    <x v="0"/>
    <n v="3"/>
    <n v="300"/>
    <n v="900"/>
    <x v="7"/>
    <x v="2"/>
  </r>
  <r>
    <d v="2023-05-23T00:00:00"/>
    <x v="30"/>
    <x v="0"/>
    <x v="24"/>
    <x v="2"/>
    <n v="4"/>
    <n v="300"/>
    <n v="1200"/>
    <x v="3"/>
    <x v="4"/>
  </r>
  <r>
    <d v="2023-01-04T00:00:00"/>
    <x v="31"/>
    <x v="0"/>
    <x v="4"/>
    <x v="0"/>
    <n v="3"/>
    <n v="30"/>
    <n v="90"/>
    <x v="2"/>
    <x v="5"/>
  </r>
  <r>
    <d v="2023-03-23T00:00:00"/>
    <x v="32"/>
    <x v="1"/>
    <x v="2"/>
    <x v="2"/>
    <n v="2"/>
    <n v="50"/>
    <n v="100"/>
    <x v="5"/>
    <x v="6"/>
  </r>
  <r>
    <d v="2023-12-24T00:00:00"/>
    <x v="33"/>
    <x v="1"/>
    <x v="25"/>
    <x v="1"/>
    <n v="3"/>
    <n v="50"/>
    <n v="150"/>
    <x v="6"/>
    <x v="2"/>
  </r>
  <r>
    <d v="2023-08-05T00:00:00"/>
    <x v="34"/>
    <x v="1"/>
    <x v="26"/>
    <x v="0"/>
    <n v="3"/>
    <n v="300"/>
    <n v="900"/>
    <x v="8"/>
    <x v="3"/>
  </r>
  <r>
    <d v="2023-06-24T00:00:00"/>
    <x v="35"/>
    <x v="0"/>
    <x v="8"/>
    <x v="0"/>
    <n v="3"/>
    <n v="300"/>
    <n v="900"/>
    <x v="10"/>
    <x v="3"/>
  </r>
  <r>
    <d v="2023-05-23T00:00:00"/>
    <x v="36"/>
    <x v="1"/>
    <x v="18"/>
    <x v="0"/>
    <n v="3"/>
    <n v="25"/>
    <n v="75"/>
    <x v="3"/>
    <x v="4"/>
  </r>
  <r>
    <d v="2023-03-21T00:00:00"/>
    <x v="37"/>
    <x v="0"/>
    <x v="21"/>
    <x v="0"/>
    <n v="4"/>
    <n v="50"/>
    <n v="200"/>
    <x v="5"/>
    <x v="4"/>
  </r>
  <r>
    <d v="2023-04-21T00:00:00"/>
    <x v="38"/>
    <x v="0"/>
    <x v="9"/>
    <x v="1"/>
    <n v="4"/>
    <n v="30"/>
    <n v="120"/>
    <x v="4"/>
    <x v="0"/>
  </r>
  <r>
    <d v="2023-06-22T00:00:00"/>
    <x v="39"/>
    <x v="0"/>
    <x v="5"/>
    <x v="0"/>
    <n v="1"/>
    <n v="50"/>
    <n v="50"/>
    <x v="10"/>
    <x v="6"/>
  </r>
  <r>
    <d v="2023-02-22T00:00:00"/>
    <x v="40"/>
    <x v="0"/>
    <x v="0"/>
    <x v="1"/>
    <n v="2"/>
    <n v="25"/>
    <n v="50"/>
    <x v="1"/>
    <x v="5"/>
  </r>
  <r>
    <d v="2023-02-17T00:00:00"/>
    <x v="41"/>
    <x v="0"/>
    <x v="11"/>
    <x v="1"/>
    <n v="3"/>
    <n v="300"/>
    <n v="900"/>
    <x v="1"/>
    <x v="0"/>
  </r>
  <r>
    <d v="2023-07-14T00:00:00"/>
    <x v="42"/>
    <x v="1"/>
    <x v="27"/>
    <x v="1"/>
    <n v="1"/>
    <n v="300"/>
    <n v="300"/>
    <x v="11"/>
    <x v="0"/>
  </r>
  <r>
    <d v="2023-02-19T00:00:00"/>
    <x v="43"/>
    <x v="1"/>
    <x v="11"/>
    <x v="1"/>
    <n v="1"/>
    <n v="25"/>
    <n v="25"/>
    <x v="1"/>
    <x v="2"/>
  </r>
  <r>
    <d v="2023-07-03T00:00:00"/>
    <x v="44"/>
    <x v="1"/>
    <x v="28"/>
    <x v="2"/>
    <n v="1"/>
    <n v="30"/>
    <n v="30"/>
    <x v="11"/>
    <x v="1"/>
  </r>
  <r>
    <d v="2023-06-26T00:00:00"/>
    <x v="45"/>
    <x v="1"/>
    <x v="29"/>
    <x v="2"/>
    <n v="4"/>
    <n v="300"/>
    <n v="1200"/>
    <x v="10"/>
    <x v="1"/>
  </r>
  <r>
    <d v="2023-11-06T00:00:00"/>
    <x v="46"/>
    <x v="1"/>
    <x v="30"/>
    <x v="0"/>
    <n v="3"/>
    <n v="500"/>
    <n v="1500"/>
    <x v="0"/>
    <x v="1"/>
  </r>
  <r>
    <d v="2023-05-16T00:00:00"/>
    <x v="47"/>
    <x v="0"/>
    <x v="31"/>
    <x v="2"/>
    <n v="3"/>
    <n v="300"/>
    <n v="900"/>
    <x v="3"/>
    <x v="4"/>
  </r>
  <r>
    <d v="2023-01-23T00:00:00"/>
    <x v="48"/>
    <x v="1"/>
    <x v="31"/>
    <x v="2"/>
    <n v="2"/>
    <n v="500"/>
    <n v="1000"/>
    <x v="2"/>
    <x v="1"/>
  </r>
  <r>
    <d v="2023-08-24T00:00:00"/>
    <x v="49"/>
    <x v="1"/>
    <x v="15"/>
    <x v="0"/>
    <n v="3"/>
    <n v="25"/>
    <n v="75"/>
    <x v="8"/>
    <x v="6"/>
  </r>
  <r>
    <d v="2023-10-02T00:00:00"/>
    <x v="50"/>
    <x v="0"/>
    <x v="15"/>
    <x v="0"/>
    <n v="3"/>
    <n v="25"/>
    <n v="75"/>
    <x v="7"/>
    <x v="1"/>
  </r>
  <r>
    <d v="2023-03-05T00:00:00"/>
    <x v="51"/>
    <x v="1"/>
    <x v="32"/>
    <x v="0"/>
    <n v="1"/>
    <n v="300"/>
    <n v="300"/>
    <x v="5"/>
    <x v="2"/>
  </r>
  <r>
    <d v="2023-07-13T00:00:00"/>
    <x v="52"/>
    <x v="0"/>
    <x v="0"/>
    <x v="2"/>
    <n v="2"/>
    <n v="50"/>
    <n v="100"/>
    <x v="11"/>
    <x v="6"/>
  </r>
  <r>
    <d v="2023-02-10T00:00:00"/>
    <x v="53"/>
    <x v="1"/>
    <x v="21"/>
    <x v="2"/>
    <n v="3"/>
    <n v="500"/>
    <n v="1500"/>
    <x v="1"/>
    <x v="0"/>
  </r>
  <r>
    <d v="2023-10-10T00:00:00"/>
    <x v="54"/>
    <x v="0"/>
    <x v="33"/>
    <x v="0"/>
    <n v="4"/>
    <n v="30"/>
    <n v="120"/>
    <x v="7"/>
    <x v="4"/>
  </r>
  <r>
    <d v="2023-05-31T00:00:00"/>
    <x v="55"/>
    <x v="1"/>
    <x v="1"/>
    <x v="1"/>
    <n v="3"/>
    <n v="300"/>
    <n v="900"/>
    <x v="3"/>
    <x v="5"/>
  </r>
  <r>
    <d v="2023-11-18T00:00:00"/>
    <x v="56"/>
    <x v="1"/>
    <x v="7"/>
    <x v="0"/>
    <n v="1"/>
    <n v="30"/>
    <n v="30"/>
    <x v="0"/>
    <x v="3"/>
  </r>
  <r>
    <d v="2023-11-13T00:00:00"/>
    <x v="57"/>
    <x v="0"/>
    <x v="18"/>
    <x v="1"/>
    <n v="4"/>
    <n v="300"/>
    <n v="1200"/>
    <x v="0"/>
    <x v="1"/>
  </r>
  <r>
    <d v="2023-07-05T00:00:00"/>
    <x v="58"/>
    <x v="0"/>
    <x v="17"/>
    <x v="1"/>
    <n v="1"/>
    <n v="50"/>
    <n v="50"/>
    <x v="11"/>
    <x v="5"/>
  </r>
  <r>
    <d v="2023-10-23T00:00:00"/>
    <x v="59"/>
    <x v="0"/>
    <x v="4"/>
    <x v="0"/>
    <n v="3"/>
    <n v="50"/>
    <n v="150"/>
    <x v="7"/>
    <x v="1"/>
  </r>
  <r>
    <d v="2023-04-09T00:00:00"/>
    <x v="60"/>
    <x v="0"/>
    <x v="34"/>
    <x v="0"/>
    <n v="4"/>
    <n v="50"/>
    <n v="200"/>
    <x v="4"/>
    <x v="2"/>
  </r>
  <r>
    <d v="2023-12-27T00:00:00"/>
    <x v="61"/>
    <x v="0"/>
    <x v="18"/>
    <x v="0"/>
    <n v="2"/>
    <n v="50"/>
    <n v="100"/>
    <x v="6"/>
    <x v="5"/>
  </r>
  <r>
    <d v="2023-02-05T00:00:00"/>
    <x v="62"/>
    <x v="0"/>
    <x v="35"/>
    <x v="2"/>
    <n v="2"/>
    <n v="25"/>
    <n v="50"/>
    <x v="1"/>
    <x v="2"/>
  </r>
  <r>
    <d v="2023-01-24T00:00:00"/>
    <x v="63"/>
    <x v="0"/>
    <x v="19"/>
    <x v="1"/>
    <n v="4"/>
    <n v="25"/>
    <n v="100"/>
    <x v="2"/>
    <x v="4"/>
  </r>
  <r>
    <d v="2023-12-05T00:00:00"/>
    <x v="64"/>
    <x v="0"/>
    <x v="25"/>
    <x v="2"/>
    <n v="4"/>
    <n v="500"/>
    <n v="2000"/>
    <x v="6"/>
    <x v="4"/>
  </r>
  <r>
    <d v="2023-04-27T00:00:00"/>
    <x v="65"/>
    <x v="1"/>
    <x v="5"/>
    <x v="2"/>
    <n v="1"/>
    <n v="30"/>
    <n v="30"/>
    <x v="4"/>
    <x v="6"/>
  </r>
  <r>
    <d v="2023-05-29T00:00:00"/>
    <x v="66"/>
    <x v="1"/>
    <x v="27"/>
    <x v="0"/>
    <n v="4"/>
    <n v="300"/>
    <n v="1200"/>
    <x v="3"/>
    <x v="1"/>
  </r>
  <r>
    <d v="2023-02-10T00:00:00"/>
    <x v="67"/>
    <x v="0"/>
    <x v="36"/>
    <x v="2"/>
    <n v="1"/>
    <n v="300"/>
    <n v="300"/>
    <x v="1"/>
    <x v="0"/>
  </r>
  <r>
    <d v="2023-04-30T00:00:00"/>
    <x v="68"/>
    <x v="1"/>
    <x v="37"/>
    <x v="0"/>
    <n v="3"/>
    <n v="25"/>
    <n v="75"/>
    <x v="4"/>
    <x v="2"/>
  </r>
  <r>
    <d v="2023-02-21T00:00:00"/>
    <x v="69"/>
    <x v="1"/>
    <x v="22"/>
    <x v="1"/>
    <n v="1"/>
    <n v="300"/>
    <n v="300"/>
    <x v="1"/>
    <x v="4"/>
  </r>
  <r>
    <d v="2023-07-14T00:00:00"/>
    <x v="70"/>
    <x v="1"/>
    <x v="25"/>
    <x v="0"/>
    <n v="4"/>
    <n v="25"/>
    <n v="100"/>
    <x v="11"/>
    <x v="0"/>
  </r>
  <r>
    <d v="2023-05-23T00:00:00"/>
    <x v="71"/>
    <x v="1"/>
    <x v="29"/>
    <x v="2"/>
    <n v="4"/>
    <n v="500"/>
    <n v="2000"/>
    <x v="3"/>
    <x v="4"/>
  </r>
  <r>
    <d v="2023-08-21T00:00:00"/>
    <x v="72"/>
    <x v="0"/>
    <x v="38"/>
    <x v="2"/>
    <n v="3"/>
    <n v="30"/>
    <n v="90"/>
    <x v="8"/>
    <x v="1"/>
  </r>
  <r>
    <d v="2023-11-22T00:00:00"/>
    <x v="73"/>
    <x v="1"/>
    <x v="18"/>
    <x v="0"/>
    <n v="4"/>
    <n v="500"/>
    <n v="2000"/>
    <x v="0"/>
    <x v="5"/>
  </r>
  <r>
    <d v="2023-07-06T00:00:00"/>
    <x v="74"/>
    <x v="0"/>
    <x v="39"/>
    <x v="0"/>
    <n v="4"/>
    <n v="50"/>
    <n v="200"/>
    <x v="11"/>
    <x v="6"/>
  </r>
  <r>
    <d v="2023-03-25T00:00:00"/>
    <x v="75"/>
    <x v="1"/>
    <x v="11"/>
    <x v="2"/>
    <n v="2"/>
    <n v="50"/>
    <n v="100"/>
    <x v="5"/>
    <x v="3"/>
  </r>
  <r>
    <d v="2023-07-09T00:00:00"/>
    <x v="76"/>
    <x v="1"/>
    <x v="16"/>
    <x v="1"/>
    <n v="2"/>
    <n v="50"/>
    <n v="100"/>
    <x v="11"/>
    <x v="2"/>
  </r>
  <r>
    <d v="2023-07-01T00:00:00"/>
    <x v="77"/>
    <x v="1"/>
    <x v="16"/>
    <x v="1"/>
    <n v="3"/>
    <n v="500"/>
    <n v="1500"/>
    <x v="11"/>
    <x v="3"/>
  </r>
  <r>
    <d v="2023-04-18T00:00:00"/>
    <x v="78"/>
    <x v="0"/>
    <x v="0"/>
    <x v="0"/>
    <n v="1"/>
    <n v="300"/>
    <n v="300"/>
    <x v="4"/>
    <x v="4"/>
  </r>
  <r>
    <d v="2023-12-10T00:00:00"/>
    <x v="79"/>
    <x v="1"/>
    <x v="12"/>
    <x v="1"/>
    <n v="2"/>
    <n v="30"/>
    <n v="60"/>
    <x v="6"/>
    <x v="2"/>
  </r>
  <r>
    <d v="2023-05-17T00:00:00"/>
    <x v="80"/>
    <x v="0"/>
    <x v="30"/>
    <x v="2"/>
    <n v="1"/>
    <n v="50"/>
    <n v="50"/>
    <x v="3"/>
    <x v="5"/>
  </r>
  <r>
    <d v="2023-12-26T00:00:00"/>
    <x v="81"/>
    <x v="1"/>
    <x v="40"/>
    <x v="0"/>
    <n v="4"/>
    <n v="50"/>
    <n v="200"/>
    <x v="6"/>
    <x v="4"/>
  </r>
  <r>
    <d v="2023-12-16T00:00:00"/>
    <x v="82"/>
    <x v="0"/>
    <x v="31"/>
    <x v="2"/>
    <n v="2"/>
    <n v="50"/>
    <n v="100"/>
    <x v="6"/>
    <x v="3"/>
  </r>
  <r>
    <d v="2023-11-28T00:00:00"/>
    <x v="83"/>
    <x v="1"/>
    <x v="21"/>
    <x v="2"/>
    <n v="3"/>
    <n v="30"/>
    <n v="90"/>
    <x v="0"/>
    <x v="4"/>
  </r>
  <r>
    <d v="2023-02-06T00:00:00"/>
    <x v="84"/>
    <x v="0"/>
    <x v="33"/>
    <x v="1"/>
    <n v="3"/>
    <n v="50"/>
    <n v="150"/>
    <x v="1"/>
    <x v="1"/>
  </r>
  <r>
    <d v="2023-11-08T00:00:00"/>
    <x v="85"/>
    <x v="0"/>
    <x v="14"/>
    <x v="0"/>
    <n v="3"/>
    <n v="30"/>
    <n v="90"/>
    <x v="0"/>
    <x v="5"/>
  </r>
  <r>
    <d v="2023-11-22T00:00:00"/>
    <x v="86"/>
    <x v="1"/>
    <x v="20"/>
    <x v="0"/>
    <n v="2"/>
    <n v="50"/>
    <n v="100"/>
    <x v="0"/>
    <x v="5"/>
  </r>
  <r>
    <d v="2023-03-29T00:00:00"/>
    <x v="87"/>
    <x v="0"/>
    <x v="37"/>
    <x v="1"/>
    <n v="1"/>
    <n v="500"/>
    <n v="500"/>
    <x v="5"/>
    <x v="5"/>
  </r>
  <r>
    <d v="2023-10-01T00:00:00"/>
    <x v="88"/>
    <x v="1"/>
    <x v="28"/>
    <x v="2"/>
    <n v="4"/>
    <n v="500"/>
    <n v="2000"/>
    <x v="7"/>
    <x v="2"/>
  </r>
  <r>
    <d v="2023-05-06T00:00:00"/>
    <x v="89"/>
    <x v="1"/>
    <x v="25"/>
    <x v="2"/>
    <n v="1"/>
    <n v="30"/>
    <n v="30"/>
    <x v="3"/>
    <x v="3"/>
  </r>
  <r>
    <d v="2023-03-25T00:00:00"/>
    <x v="90"/>
    <x v="1"/>
    <x v="28"/>
    <x v="2"/>
    <n v="1"/>
    <n v="500"/>
    <n v="500"/>
    <x v="5"/>
    <x v="3"/>
  </r>
  <r>
    <d v="2023-08-25T00:00:00"/>
    <x v="91"/>
    <x v="1"/>
    <x v="25"/>
    <x v="2"/>
    <n v="4"/>
    <n v="30"/>
    <n v="120"/>
    <x v="8"/>
    <x v="0"/>
  </r>
  <r>
    <d v="2023-07-14T00:00:00"/>
    <x v="92"/>
    <x v="1"/>
    <x v="10"/>
    <x v="0"/>
    <n v="4"/>
    <n v="500"/>
    <n v="2000"/>
    <x v="11"/>
    <x v="0"/>
  </r>
  <r>
    <d v="2023-05-19T00:00:00"/>
    <x v="93"/>
    <x v="1"/>
    <x v="16"/>
    <x v="0"/>
    <n v="2"/>
    <n v="500"/>
    <n v="1000"/>
    <x v="3"/>
    <x v="0"/>
  </r>
  <r>
    <d v="2023-11-24T00:00:00"/>
    <x v="94"/>
    <x v="1"/>
    <x v="40"/>
    <x v="1"/>
    <n v="2"/>
    <n v="30"/>
    <n v="60"/>
    <x v="0"/>
    <x v="0"/>
  </r>
  <r>
    <d v="2023-12-19T00:00:00"/>
    <x v="95"/>
    <x v="1"/>
    <x v="24"/>
    <x v="1"/>
    <n v="2"/>
    <n v="300"/>
    <n v="600"/>
    <x v="6"/>
    <x v="4"/>
  </r>
  <r>
    <d v="2023-10-13T00:00:00"/>
    <x v="96"/>
    <x v="1"/>
    <x v="25"/>
    <x v="0"/>
    <n v="2"/>
    <n v="500"/>
    <n v="1000"/>
    <x v="7"/>
    <x v="0"/>
  </r>
  <r>
    <d v="2023-04-23T00:00:00"/>
    <x v="97"/>
    <x v="1"/>
    <x v="28"/>
    <x v="0"/>
    <n v="2"/>
    <n v="50"/>
    <n v="100"/>
    <x v="4"/>
    <x v="2"/>
  </r>
  <r>
    <d v="2023-12-17T00:00:00"/>
    <x v="98"/>
    <x v="1"/>
    <x v="2"/>
    <x v="2"/>
    <n v="4"/>
    <n v="300"/>
    <n v="1200"/>
    <x v="6"/>
    <x v="2"/>
  </r>
  <r>
    <d v="2023-06-16T00:00:00"/>
    <x v="99"/>
    <x v="0"/>
    <x v="41"/>
    <x v="2"/>
    <n v="1"/>
    <n v="30"/>
    <n v="30"/>
    <x v="10"/>
    <x v="0"/>
  </r>
  <r>
    <d v="2023-04-12T00:00:00"/>
    <x v="100"/>
    <x v="0"/>
    <x v="16"/>
    <x v="2"/>
    <n v="4"/>
    <n v="30"/>
    <n v="120"/>
    <x v="4"/>
    <x v="5"/>
  </r>
  <r>
    <d v="2023-01-29T00:00:00"/>
    <x v="101"/>
    <x v="0"/>
    <x v="40"/>
    <x v="1"/>
    <n v="2"/>
    <n v="300"/>
    <n v="600"/>
    <x v="2"/>
    <x v="2"/>
  </r>
  <r>
    <d v="2023-04-28T00:00:00"/>
    <x v="102"/>
    <x v="1"/>
    <x v="16"/>
    <x v="0"/>
    <n v="2"/>
    <n v="25"/>
    <n v="50"/>
    <x v="4"/>
    <x v="0"/>
  </r>
  <r>
    <d v="2023-01-17T00:00:00"/>
    <x v="103"/>
    <x v="1"/>
    <x v="42"/>
    <x v="1"/>
    <n v="1"/>
    <n v="25"/>
    <n v="25"/>
    <x v="2"/>
    <x v="4"/>
  </r>
  <r>
    <d v="2023-06-11T00:00:00"/>
    <x v="104"/>
    <x v="1"/>
    <x v="0"/>
    <x v="0"/>
    <n v="2"/>
    <n v="500"/>
    <n v="1000"/>
    <x v="10"/>
    <x v="2"/>
  </r>
  <r>
    <d v="2023-07-25T00:00:00"/>
    <x v="105"/>
    <x v="1"/>
    <x v="11"/>
    <x v="2"/>
    <n v="1"/>
    <n v="500"/>
    <n v="500"/>
    <x v="11"/>
    <x v="4"/>
  </r>
  <r>
    <d v="2023-05-18T00:00:00"/>
    <x v="106"/>
    <x v="1"/>
    <x v="6"/>
    <x v="1"/>
    <n v="1"/>
    <n v="50"/>
    <n v="50"/>
    <x v="3"/>
    <x v="6"/>
  </r>
  <r>
    <d v="2023-02-03T00:00:00"/>
    <x v="107"/>
    <x v="1"/>
    <x v="34"/>
    <x v="1"/>
    <n v="4"/>
    <n v="300"/>
    <n v="1200"/>
    <x v="1"/>
    <x v="0"/>
  </r>
  <r>
    <d v="2023-04-19T00:00:00"/>
    <x v="108"/>
    <x v="1"/>
    <x v="15"/>
    <x v="0"/>
    <n v="3"/>
    <n v="25"/>
    <n v="75"/>
    <x v="4"/>
    <x v="5"/>
  </r>
  <r>
    <d v="2023-10-18T00:00:00"/>
    <x v="109"/>
    <x v="1"/>
    <x v="0"/>
    <x v="2"/>
    <n v="4"/>
    <n v="500"/>
    <n v="2000"/>
    <x v="7"/>
    <x v="5"/>
  </r>
  <r>
    <d v="2023-06-11T00:00:00"/>
    <x v="110"/>
    <x v="0"/>
    <x v="15"/>
    <x v="1"/>
    <n v="3"/>
    <n v="300"/>
    <n v="900"/>
    <x v="10"/>
    <x v="2"/>
  </r>
  <r>
    <d v="2023-04-19T00:00:00"/>
    <x v="111"/>
    <x v="1"/>
    <x v="0"/>
    <x v="2"/>
    <n v="3"/>
    <n v="500"/>
    <n v="1500"/>
    <x v="4"/>
    <x v="5"/>
  </r>
  <r>
    <d v="2023-12-02T00:00:00"/>
    <x v="112"/>
    <x v="0"/>
    <x v="3"/>
    <x v="1"/>
    <n v="3"/>
    <n v="500"/>
    <n v="1500"/>
    <x v="6"/>
    <x v="3"/>
  </r>
  <r>
    <d v="2023-09-13T00:00:00"/>
    <x v="113"/>
    <x v="1"/>
    <x v="41"/>
    <x v="2"/>
    <n v="2"/>
    <n v="25"/>
    <n v="50"/>
    <x v="9"/>
    <x v="5"/>
  </r>
  <r>
    <d v="2023-07-22T00:00:00"/>
    <x v="114"/>
    <x v="1"/>
    <x v="11"/>
    <x v="0"/>
    <n v="4"/>
    <n v="25"/>
    <n v="100"/>
    <x v="11"/>
    <x v="3"/>
  </r>
  <r>
    <d v="2023-11-26T00:00:00"/>
    <x v="115"/>
    <x v="0"/>
    <x v="25"/>
    <x v="1"/>
    <n v="3"/>
    <n v="500"/>
    <n v="1500"/>
    <x v="0"/>
    <x v="2"/>
  </r>
  <r>
    <d v="2023-08-23T00:00:00"/>
    <x v="116"/>
    <x v="1"/>
    <x v="9"/>
    <x v="1"/>
    <n v="1"/>
    <n v="30"/>
    <n v="30"/>
    <x v="8"/>
    <x v="5"/>
  </r>
  <r>
    <d v="2023-03-15T00:00:00"/>
    <x v="117"/>
    <x v="0"/>
    <x v="14"/>
    <x v="2"/>
    <n v="2"/>
    <n v="500"/>
    <n v="1000"/>
    <x v="5"/>
    <x v="5"/>
  </r>
  <r>
    <d v="2023-05-16T00:00:00"/>
    <x v="118"/>
    <x v="1"/>
    <x v="4"/>
    <x v="2"/>
    <n v="4"/>
    <n v="500"/>
    <n v="2000"/>
    <x v="3"/>
    <x v="4"/>
  </r>
  <r>
    <d v="2023-03-13T00:00:00"/>
    <x v="119"/>
    <x v="1"/>
    <x v="43"/>
    <x v="1"/>
    <n v="3"/>
    <n v="50"/>
    <n v="150"/>
    <x v="5"/>
    <x v="1"/>
  </r>
  <r>
    <d v="2023-05-07T00:00:00"/>
    <x v="120"/>
    <x v="0"/>
    <x v="43"/>
    <x v="0"/>
    <n v="1"/>
    <n v="50"/>
    <n v="50"/>
    <x v="3"/>
    <x v="2"/>
  </r>
  <r>
    <d v="2023-10-15T00:00:00"/>
    <x v="121"/>
    <x v="1"/>
    <x v="20"/>
    <x v="2"/>
    <n v="4"/>
    <n v="50"/>
    <n v="200"/>
    <x v="7"/>
    <x v="2"/>
  </r>
  <r>
    <d v="2023-10-03T00:00:00"/>
    <x v="122"/>
    <x v="0"/>
    <x v="12"/>
    <x v="2"/>
    <n v="4"/>
    <n v="30"/>
    <n v="120"/>
    <x v="7"/>
    <x v="4"/>
  </r>
  <r>
    <d v="2023-05-15T00:00:00"/>
    <x v="123"/>
    <x v="1"/>
    <x v="30"/>
    <x v="2"/>
    <n v="2"/>
    <n v="30"/>
    <n v="60"/>
    <x v="3"/>
    <x v="1"/>
  </r>
  <r>
    <d v="2023-10-27T00:00:00"/>
    <x v="124"/>
    <x v="0"/>
    <x v="44"/>
    <x v="1"/>
    <n v="4"/>
    <n v="500"/>
    <n v="2000"/>
    <x v="7"/>
    <x v="0"/>
  </r>
  <r>
    <d v="2023-08-08T00:00:00"/>
    <x v="125"/>
    <x v="0"/>
    <x v="27"/>
    <x v="1"/>
    <n v="2"/>
    <n v="50"/>
    <n v="100"/>
    <x v="8"/>
    <x v="4"/>
  </r>
  <r>
    <d v="2023-10-26T00:00:00"/>
    <x v="126"/>
    <x v="1"/>
    <x v="20"/>
    <x v="1"/>
    <n v="3"/>
    <n v="30"/>
    <n v="90"/>
    <x v="7"/>
    <x v="6"/>
  </r>
  <r>
    <d v="2023-07-24T00:00:00"/>
    <x v="127"/>
    <x v="1"/>
    <x v="44"/>
    <x v="1"/>
    <n v="2"/>
    <n v="25"/>
    <n v="50"/>
    <x v="11"/>
    <x v="1"/>
  </r>
  <r>
    <d v="2023-07-05T00:00:00"/>
    <x v="128"/>
    <x v="0"/>
    <x v="36"/>
    <x v="0"/>
    <n v="1"/>
    <n v="500"/>
    <n v="500"/>
    <x v="11"/>
    <x v="5"/>
  </r>
  <r>
    <d v="2023-04-23T00:00:00"/>
    <x v="129"/>
    <x v="1"/>
    <x v="34"/>
    <x v="0"/>
    <n v="2"/>
    <n v="300"/>
    <n v="600"/>
    <x v="4"/>
    <x v="2"/>
  </r>
  <r>
    <d v="2023-03-12T00:00:00"/>
    <x v="130"/>
    <x v="1"/>
    <x v="35"/>
    <x v="1"/>
    <n v="1"/>
    <n v="500"/>
    <n v="500"/>
    <x v="5"/>
    <x v="2"/>
  </r>
  <r>
    <d v="2023-09-18T00:00:00"/>
    <x v="131"/>
    <x v="1"/>
    <x v="34"/>
    <x v="0"/>
    <n v="2"/>
    <n v="300"/>
    <n v="600"/>
    <x v="9"/>
    <x v="1"/>
  </r>
  <r>
    <d v="2023-09-10T00:00:00"/>
    <x v="132"/>
    <x v="0"/>
    <x v="13"/>
    <x v="2"/>
    <n v="4"/>
    <n v="50"/>
    <n v="200"/>
    <x v="9"/>
    <x v="2"/>
  </r>
  <r>
    <d v="2023-02-16T00:00:00"/>
    <x v="133"/>
    <x v="0"/>
    <x v="29"/>
    <x v="2"/>
    <n v="3"/>
    <n v="300"/>
    <n v="900"/>
    <x v="1"/>
    <x v="6"/>
  </r>
  <r>
    <d v="2023-01-25T00:00:00"/>
    <x v="134"/>
    <x v="0"/>
    <x v="19"/>
    <x v="2"/>
    <n v="1"/>
    <n v="50"/>
    <n v="50"/>
    <x v="2"/>
    <x v="5"/>
  </r>
  <r>
    <d v="2023-02-26T00:00:00"/>
    <x v="135"/>
    <x v="0"/>
    <x v="29"/>
    <x v="1"/>
    <n v="2"/>
    <n v="25"/>
    <n v="50"/>
    <x v="1"/>
    <x v="2"/>
  </r>
  <r>
    <d v="2023-03-20T00:00:00"/>
    <x v="136"/>
    <x v="0"/>
    <x v="24"/>
    <x v="2"/>
    <n v="2"/>
    <n v="300"/>
    <n v="600"/>
    <x v="5"/>
    <x v="1"/>
  </r>
  <r>
    <d v="2023-11-18T00:00:00"/>
    <x v="137"/>
    <x v="0"/>
    <x v="6"/>
    <x v="0"/>
    <n v="2"/>
    <n v="500"/>
    <n v="1000"/>
    <x v="0"/>
    <x v="3"/>
  </r>
  <r>
    <d v="2023-03-23T00:00:00"/>
    <x v="138"/>
    <x v="0"/>
    <x v="19"/>
    <x v="1"/>
    <n v="4"/>
    <n v="50"/>
    <n v="200"/>
    <x v="5"/>
    <x v="6"/>
  </r>
  <r>
    <d v="2023-12-15T00:00:00"/>
    <x v="139"/>
    <x v="0"/>
    <x v="32"/>
    <x v="0"/>
    <n v="4"/>
    <n v="500"/>
    <n v="2000"/>
    <x v="6"/>
    <x v="0"/>
  </r>
  <r>
    <d v="2023-08-05T00:00:00"/>
    <x v="140"/>
    <x v="0"/>
    <x v="21"/>
    <x v="2"/>
    <n v="1"/>
    <n v="30"/>
    <n v="30"/>
    <x v="8"/>
    <x v="3"/>
  </r>
  <r>
    <d v="2023-11-02T00:00:00"/>
    <x v="141"/>
    <x v="1"/>
    <x v="11"/>
    <x v="2"/>
    <n v="1"/>
    <n v="50"/>
    <n v="50"/>
    <x v="0"/>
    <x v="6"/>
  </r>
  <r>
    <d v="2023-02-02T00:00:00"/>
    <x v="142"/>
    <x v="0"/>
    <x v="10"/>
    <x v="2"/>
    <n v="4"/>
    <n v="300"/>
    <n v="1200"/>
    <x v="1"/>
    <x v="6"/>
  </r>
  <r>
    <d v="2023-07-17T00:00:00"/>
    <x v="143"/>
    <x v="1"/>
    <x v="5"/>
    <x v="1"/>
    <n v="1"/>
    <n v="50"/>
    <n v="50"/>
    <x v="11"/>
    <x v="1"/>
  </r>
  <r>
    <d v="2023-07-15T00:00:00"/>
    <x v="144"/>
    <x v="1"/>
    <x v="42"/>
    <x v="0"/>
    <n v="3"/>
    <n v="500"/>
    <n v="1500"/>
    <x v="11"/>
    <x v="3"/>
  </r>
  <r>
    <d v="2023-11-02T00:00:00"/>
    <x v="145"/>
    <x v="1"/>
    <x v="23"/>
    <x v="1"/>
    <n v="3"/>
    <n v="25"/>
    <n v="75"/>
    <x v="0"/>
    <x v="6"/>
  </r>
  <r>
    <d v="2023-08-28T00:00:00"/>
    <x v="146"/>
    <x v="0"/>
    <x v="21"/>
    <x v="1"/>
    <n v="4"/>
    <n v="50"/>
    <n v="200"/>
    <x v="8"/>
    <x v="1"/>
  </r>
  <r>
    <d v="2023-09-28T00:00:00"/>
    <x v="147"/>
    <x v="0"/>
    <x v="9"/>
    <x v="2"/>
    <n v="1"/>
    <n v="300"/>
    <n v="300"/>
    <x v="9"/>
    <x v="6"/>
  </r>
  <r>
    <d v="2023-05-09T00:00:00"/>
    <x v="148"/>
    <x v="0"/>
    <x v="18"/>
    <x v="1"/>
    <n v="2"/>
    <n v="30"/>
    <n v="60"/>
    <x v="3"/>
    <x v="4"/>
  </r>
  <r>
    <d v="2023-10-11T00:00:00"/>
    <x v="149"/>
    <x v="0"/>
    <x v="11"/>
    <x v="1"/>
    <n v="3"/>
    <n v="25"/>
    <n v="75"/>
    <x v="7"/>
    <x v="5"/>
  </r>
  <r>
    <d v="2023-01-06T00:00:00"/>
    <x v="150"/>
    <x v="1"/>
    <x v="26"/>
    <x v="2"/>
    <n v="4"/>
    <n v="30"/>
    <n v="120"/>
    <x v="2"/>
    <x v="0"/>
  </r>
  <r>
    <d v="2023-12-15T00:00:00"/>
    <x v="151"/>
    <x v="0"/>
    <x v="38"/>
    <x v="1"/>
    <n v="1"/>
    <n v="50"/>
    <n v="50"/>
    <x v="6"/>
    <x v="0"/>
  </r>
  <r>
    <d v="2023-02-28T00:00:00"/>
    <x v="152"/>
    <x v="0"/>
    <x v="22"/>
    <x v="2"/>
    <n v="4"/>
    <n v="500"/>
    <n v="2000"/>
    <x v="1"/>
    <x v="4"/>
  </r>
  <r>
    <d v="2023-12-16T00:00:00"/>
    <x v="153"/>
    <x v="0"/>
    <x v="7"/>
    <x v="2"/>
    <n v="2"/>
    <n v="500"/>
    <n v="1000"/>
    <x v="6"/>
    <x v="3"/>
  </r>
  <r>
    <d v="2023-10-02T00:00:00"/>
    <x v="154"/>
    <x v="0"/>
    <x v="25"/>
    <x v="2"/>
    <n v="3"/>
    <n v="300"/>
    <n v="900"/>
    <x v="7"/>
    <x v="1"/>
  </r>
  <r>
    <d v="2023-05-17T00:00:00"/>
    <x v="155"/>
    <x v="0"/>
    <x v="33"/>
    <x v="2"/>
    <n v="4"/>
    <n v="500"/>
    <n v="2000"/>
    <x v="3"/>
    <x v="5"/>
  </r>
  <r>
    <d v="2023-11-25T00:00:00"/>
    <x v="156"/>
    <x v="1"/>
    <x v="22"/>
    <x v="1"/>
    <n v="4"/>
    <n v="25"/>
    <n v="100"/>
    <x v="0"/>
    <x v="3"/>
  </r>
  <r>
    <d v="2023-06-24T00:00:00"/>
    <x v="157"/>
    <x v="0"/>
    <x v="17"/>
    <x v="2"/>
    <n v="4"/>
    <n v="500"/>
    <n v="2000"/>
    <x v="10"/>
    <x v="3"/>
  </r>
  <r>
    <d v="2023-02-27T00:00:00"/>
    <x v="158"/>
    <x v="1"/>
    <x v="24"/>
    <x v="2"/>
    <n v="2"/>
    <n v="300"/>
    <n v="600"/>
    <x v="1"/>
    <x v="1"/>
  </r>
  <r>
    <d v="2023-05-31T00:00:00"/>
    <x v="159"/>
    <x v="0"/>
    <x v="1"/>
    <x v="1"/>
    <n v="4"/>
    <n v="50"/>
    <n v="200"/>
    <x v="3"/>
    <x v="5"/>
  </r>
  <r>
    <d v="2023-08-11T00:00:00"/>
    <x v="160"/>
    <x v="1"/>
    <x v="22"/>
    <x v="1"/>
    <n v="2"/>
    <n v="50"/>
    <n v="100"/>
    <x v="8"/>
    <x v="0"/>
  </r>
  <r>
    <d v="2023-03-22T00:00:00"/>
    <x v="161"/>
    <x v="0"/>
    <x v="12"/>
    <x v="0"/>
    <n v="2"/>
    <n v="500"/>
    <n v="1000"/>
    <x v="5"/>
    <x v="5"/>
  </r>
  <r>
    <d v="2023-08-21T00:00:00"/>
    <x v="162"/>
    <x v="0"/>
    <x v="23"/>
    <x v="1"/>
    <n v="2"/>
    <n v="30"/>
    <n v="60"/>
    <x v="8"/>
    <x v="1"/>
  </r>
  <r>
    <d v="2023-01-02T00:00:00"/>
    <x v="163"/>
    <x v="1"/>
    <x v="12"/>
    <x v="1"/>
    <n v="3"/>
    <n v="50"/>
    <n v="150"/>
    <x v="2"/>
    <x v="1"/>
  </r>
  <r>
    <d v="2023-05-15T00:00:00"/>
    <x v="164"/>
    <x v="1"/>
    <x v="16"/>
    <x v="0"/>
    <n v="3"/>
    <n v="500"/>
    <n v="1500"/>
    <x v="3"/>
    <x v="1"/>
  </r>
  <r>
    <d v="2023-09-14T00:00:00"/>
    <x v="165"/>
    <x v="1"/>
    <x v="43"/>
    <x v="1"/>
    <n v="4"/>
    <n v="300"/>
    <n v="1200"/>
    <x v="9"/>
    <x v="6"/>
  </r>
  <r>
    <d v="2023-04-02T00:00:00"/>
    <x v="166"/>
    <x v="0"/>
    <x v="0"/>
    <x v="1"/>
    <n v="4"/>
    <n v="500"/>
    <n v="2000"/>
    <x v="4"/>
    <x v="2"/>
  </r>
  <r>
    <d v="2023-09-17T00:00:00"/>
    <x v="167"/>
    <x v="1"/>
    <x v="22"/>
    <x v="1"/>
    <n v="3"/>
    <n v="50"/>
    <n v="150"/>
    <x v="9"/>
    <x v="2"/>
  </r>
  <r>
    <d v="2023-02-24T00:00:00"/>
    <x v="168"/>
    <x v="0"/>
    <x v="45"/>
    <x v="1"/>
    <n v="1"/>
    <n v="300"/>
    <n v="300"/>
    <x v="1"/>
    <x v="0"/>
  </r>
  <r>
    <d v="2023-11-17T00:00:00"/>
    <x v="169"/>
    <x v="0"/>
    <x v="18"/>
    <x v="0"/>
    <n v="3"/>
    <n v="500"/>
    <n v="1500"/>
    <x v="0"/>
    <x v="0"/>
  </r>
  <r>
    <d v="2023-06-02T00:00:00"/>
    <x v="170"/>
    <x v="1"/>
    <x v="36"/>
    <x v="1"/>
    <n v="2"/>
    <n v="25"/>
    <n v="50"/>
    <x v="10"/>
    <x v="0"/>
  </r>
  <r>
    <d v="2023-11-24T00:00:00"/>
    <x v="171"/>
    <x v="1"/>
    <x v="8"/>
    <x v="1"/>
    <n v="3"/>
    <n v="300"/>
    <n v="900"/>
    <x v="0"/>
    <x v="0"/>
  </r>
  <r>
    <d v="2023-09-17T00:00:00"/>
    <x v="172"/>
    <x v="0"/>
    <x v="40"/>
    <x v="0"/>
    <n v="2"/>
    <n v="25"/>
    <n v="50"/>
    <x v="9"/>
    <x v="2"/>
  </r>
  <r>
    <d v="2023-11-08T00:00:00"/>
    <x v="173"/>
    <x v="0"/>
    <x v="12"/>
    <x v="2"/>
    <n v="4"/>
    <n v="30"/>
    <n v="120"/>
    <x v="0"/>
    <x v="5"/>
  </r>
  <r>
    <d v="2023-04-12T00:00:00"/>
    <x v="174"/>
    <x v="1"/>
    <x v="23"/>
    <x v="0"/>
    <n v="1"/>
    <n v="300"/>
    <n v="300"/>
    <x v="4"/>
    <x v="5"/>
  </r>
  <r>
    <d v="2023-03-20T00:00:00"/>
    <x v="175"/>
    <x v="1"/>
    <x v="33"/>
    <x v="2"/>
    <n v="4"/>
    <n v="25"/>
    <n v="100"/>
    <x v="5"/>
    <x v="1"/>
  </r>
  <r>
    <d v="2023-07-11T00:00:00"/>
    <x v="176"/>
    <x v="1"/>
    <x v="22"/>
    <x v="0"/>
    <n v="2"/>
    <n v="50"/>
    <n v="100"/>
    <x v="11"/>
    <x v="4"/>
  </r>
  <r>
    <d v="2023-03-24T00:00:00"/>
    <x v="177"/>
    <x v="0"/>
    <x v="5"/>
    <x v="0"/>
    <n v="2"/>
    <n v="50"/>
    <n v="100"/>
    <x v="5"/>
    <x v="0"/>
  </r>
  <r>
    <d v="2023-10-04T00:00:00"/>
    <x v="178"/>
    <x v="0"/>
    <x v="30"/>
    <x v="1"/>
    <n v="2"/>
    <n v="30"/>
    <n v="60"/>
    <x v="7"/>
    <x v="5"/>
  </r>
  <r>
    <d v="2023-09-29T00:00:00"/>
    <x v="179"/>
    <x v="0"/>
    <x v="33"/>
    <x v="2"/>
    <n v="1"/>
    <n v="300"/>
    <n v="300"/>
    <x v="9"/>
    <x v="0"/>
  </r>
  <r>
    <d v="2023-01-01T00:00:00"/>
    <x v="180"/>
    <x v="0"/>
    <x v="41"/>
    <x v="1"/>
    <n v="3"/>
    <n v="300"/>
    <n v="900"/>
    <x v="2"/>
    <x v="2"/>
  </r>
  <r>
    <d v="2023-11-03T00:00:00"/>
    <x v="181"/>
    <x v="0"/>
    <x v="14"/>
    <x v="2"/>
    <n v="4"/>
    <n v="300"/>
    <n v="1200"/>
    <x v="0"/>
    <x v="0"/>
  </r>
  <r>
    <d v="2023-06-15T00:00:00"/>
    <x v="182"/>
    <x v="0"/>
    <x v="17"/>
    <x v="0"/>
    <n v="4"/>
    <n v="30"/>
    <n v="120"/>
    <x v="10"/>
    <x v="6"/>
  </r>
  <r>
    <d v="2023-09-08T00:00:00"/>
    <x v="183"/>
    <x v="1"/>
    <x v="22"/>
    <x v="0"/>
    <n v="3"/>
    <n v="300"/>
    <n v="900"/>
    <x v="9"/>
    <x v="0"/>
  </r>
  <r>
    <d v="2023-01-10T00:00:00"/>
    <x v="184"/>
    <x v="0"/>
    <x v="33"/>
    <x v="2"/>
    <n v="4"/>
    <n v="50"/>
    <n v="200"/>
    <x v="2"/>
    <x v="4"/>
  </r>
  <r>
    <d v="2023-02-27T00:00:00"/>
    <x v="185"/>
    <x v="0"/>
    <x v="46"/>
    <x v="1"/>
    <n v="1"/>
    <n v="25"/>
    <n v="25"/>
    <x v="1"/>
    <x v="1"/>
  </r>
  <r>
    <d v="2023-07-05T00:00:00"/>
    <x v="186"/>
    <x v="0"/>
    <x v="29"/>
    <x v="1"/>
    <n v="4"/>
    <n v="50"/>
    <n v="200"/>
    <x v="11"/>
    <x v="5"/>
  </r>
  <r>
    <d v="2023-06-07T00:00:00"/>
    <x v="187"/>
    <x v="1"/>
    <x v="12"/>
    <x v="1"/>
    <n v="2"/>
    <n v="50"/>
    <n v="100"/>
    <x v="10"/>
    <x v="5"/>
  </r>
  <r>
    <d v="2023-05-03T00:00:00"/>
    <x v="188"/>
    <x v="0"/>
    <x v="30"/>
    <x v="1"/>
    <n v="3"/>
    <n v="25"/>
    <n v="75"/>
    <x v="3"/>
    <x v="5"/>
  </r>
  <r>
    <d v="2023-01-30T00:00:00"/>
    <x v="189"/>
    <x v="0"/>
    <x v="7"/>
    <x v="0"/>
    <n v="1"/>
    <n v="50"/>
    <n v="50"/>
    <x v="2"/>
    <x v="1"/>
  </r>
  <r>
    <d v="2023-05-04T00:00:00"/>
    <x v="190"/>
    <x v="1"/>
    <x v="43"/>
    <x v="0"/>
    <n v="3"/>
    <n v="30"/>
    <n v="90"/>
    <x v="3"/>
    <x v="6"/>
  </r>
  <r>
    <d v="2023-10-18T00:00:00"/>
    <x v="191"/>
    <x v="0"/>
    <x v="12"/>
    <x v="0"/>
    <n v="1"/>
    <n v="25"/>
    <n v="25"/>
    <x v="7"/>
    <x v="5"/>
  </r>
  <r>
    <d v="2023-02-10T00:00:00"/>
    <x v="192"/>
    <x v="0"/>
    <x v="17"/>
    <x v="0"/>
    <n v="2"/>
    <n v="50"/>
    <n v="100"/>
    <x v="1"/>
    <x v="0"/>
  </r>
  <r>
    <d v="2023-02-13T00:00:00"/>
    <x v="193"/>
    <x v="0"/>
    <x v="10"/>
    <x v="0"/>
    <n v="3"/>
    <n v="500"/>
    <n v="1500"/>
    <x v="1"/>
    <x v="1"/>
  </r>
  <r>
    <d v="2023-09-06T00:00:00"/>
    <x v="194"/>
    <x v="0"/>
    <x v="28"/>
    <x v="1"/>
    <n v="4"/>
    <n v="50"/>
    <n v="200"/>
    <x v="9"/>
    <x v="5"/>
  </r>
  <r>
    <d v="2023-02-05T00:00:00"/>
    <x v="195"/>
    <x v="0"/>
    <x v="8"/>
    <x v="1"/>
    <n v="1"/>
    <n v="30"/>
    <n v="30"/>
    <x v="1"/>
    <x v="2"/>
  </r>
  <r>
    <d v="2023-09-30T00:00:00"/>
    <x v="196"/>
    <x v="1"/>
    <x v="40"/>
    <x v="1"/>
    <n v="3"/>
    <n v="300"/>
    <n v="900"/>
    <x v="9"/>
    <x v="3"/>
  </r>
  <r>
    <d v="2023-03-06T00:00:00"/>
    <x v="197"/>
    <x v="1"/>
    <x v="13"/>
    <x v="1"/>
    <n v="4"/>
    <n v="50"/>
    <n v="200"/>
    <x v="5"/>
    <x v="1"/>
  </r>
  <r>
    <d v="2023-03-07T00:00:00"/>
    <x v="198"/>
    <x v="1"/>
    <x v="31"/>
    <x v="0"/>
    <n v="3"/>
    <n v="300"/>
    <n v="900"/>
    <x v="5"/>
    <x v="4"/>
  </r>
  <r>
    <d v="2023-12-04T00:00:00"/>
    <x v="199"/>
    <x v="0"/>
    <x v="5"/>
    <x v="0"/>
    <n v="3"/>
    <n v="500"/>
    <n v="1500"/>
    <x v="6"/>
    <x v="1"/>
  </r>
  <r>
    <d v="2023-09-01T00:00:00"/>
    <x v="200"/>
    <x v="0"/>
    <x v="15"/>
    <x v="0"/>
    <n v="3"/>
    <n v="50"/>
    <n v="150"/>
    <x v="9"/>
    <x v="0"/>
  </r>
  <r>
    <d v="2023-10-09T00:00:00"/>
    <x v="201"/>
    <x v="0"/>
    <x v="37"/>
    <x v="2"/>
    <n v="1"/>
    <n v="25"/>
    <n v="25"/>
    <x v="7"/>
    <x v="1"/>
  </r>
  <r>
    <d v="2023-03-26T00:00:00"/>
    <x v="202"/>
    <x v="1"/>
    <x v="0"/>
    <x v="1"/>
    <n v="4"/>
    <n v="300"/>
    <n v="1200"/>
    <x v="5"/>
    <x v="2"/>
  </r>
  <r>
    <d v="2023-05-16T00:00:00"/>
    <x v="203"/>
    <x v="0"/>
    <x v="37"/>
    <x v="1"/>
    <n v="2"/>
    <n v="500"/>
    <n v="1000"/>
    <x v="3"/>
    <x v="4"/>
  </r>
  <r>
    <d v="2023-09-28T00:00:00"/>
    <x v="204"/>
    <x v="0"/>
    <x v="23"/>
    <x v="0"/>
    <n v="1"/>
    <n v="25"/>
    <n v="25"/>
    <x v="9"/>
    <x v="6"/>
  </r>
  <r>
    <d v="2023-11-07T00:00:00"/>
    <x v="205"/>
    <x v="1"/>
    <x v="22"/>
    <x v="1"/>
    <n v="1"/>
    <n v="25"/>
    <n v="25"/>
    <x v="0"/>
    <x v="4"/>
  </r>
  <r>
    <d v="2023-08-05T00:00:00"/>
    <x v="206"/>
    <x v="0"/>
    <x v="39"/>
    <x v="1"/>
    <n v="1"/>
    <n v="25"/>
    <n v="25"/>
    <x v="8"/>
    <x v="3"/>
  </r>
  <r>
    <d v="2023-04-19T00:00:00"/>
    <x v="207"/>
    <x v="1"/>
    <x v="13"/>
    <x v="0"/>
    <n v="2"/>
    <n v="25"/>
    <n v="50"/>
    <x v="4"/>
    <x v="5"/>
  </r>
  <r>
    <d v="2023-10-04T00:00:00"/>
    <x v="208"/>
    <x v="1"/>
    <x v="0"/>
    <x v="2"/>
    <n v="4"/>
    <n v="50"/>
    <n v="200"/>
    <x v="7"/>
    <x v="5"/>
  </r>
  <r>
    <d v="2023-12-20T00:00:00"/>
    <x v="209"/>
    <x v="1"/>
    <x v="4"/>
    <x v="2"/>
    <n v="4"/>
    <n v="50"/>
    <n v="200"/>
    <x v="6"/>
    <x v="5"/>
  </r>
  <r>
    <d v="2023-04-13T00:00:00"/>
    <x v="210"/>
    <x v="0"/>
    <x v="3"/>
    <x v="2"/>
    <n v="4"/>
    <n v="50"/>
    <n v="200"/>
    <x v="4"/>
    <x v="6"/>
  </r>
  <r>
    <d v="2024-01-01T00:00:00"/>
    <x v="211"/>
    <x v="0"/>
    <x v="13"/>
    <x v="0"/>
    <n v="3"/>
    <n v="500"/>
    <n v="1500"/>
    <x v="2"/>
    <x v="1"/>
  </r>
  <r>
    <d v="2023-06-09T00:00:00"/>
    <x v="212"/>
    <x v="0"/>
    <x v="34"/>
    <x v="1"/>
    <n v="3"/>
    <n v="500"/>
    <n v="1500"/>
    <x v="10"/>
    <x v="0"/>
  </r>
  <r>
    <d v="2023-07-24T00:00:00"/>
    <x v="213"/>
    <x v="0"/>
    <x v="15"/>
    <x v="0"/>
    <n v="3"/>
    <n v="500"/>
    <n v="1500"/>
    <x v="11"/>
    <x v="1"/>
  </r>
  <r>
    <d v="2023-12-10T00:00:00"/>
    <x v="214"/>
    <x v="0"/>
    <x v="29"/>
    <x v="0"/>
    <n v="2"/>
    <n v="30"/>
    <n v="60"/>
    <x v="6"/>
    <x v="2"/>
  </r>
  <r>
    <d v="2023-11-29T00:00:00"/>
    <x v="215"/>
    <x v="0"/>
    <x v="26"/>
    <x v="1"/>
    <n v="3"/>
    <n v="500"/>
    <n v="1500"/>
    <x v="0"/>
    <x v="5"/>
  </r>
  <r>
    <d v="2023-07-11T00:00:00"/>
    <x v="216"/>
    <x v="0"/>
    <x v="17"/>
    <x v="2"/>
    <n v="2"/>
    <n v="50"/>
    <n v="100"/>
    <x v="11"/>
    <x v="4"/>
  </r>
  <r>
    <d v="2023-08-13T00:00:00"/>
    <x v="217"/>
    <x v="1"/>
    <x v="10"/>
    <x v="2"/>
    <n v="4"/>
    <n v="50"/>
    <n v="200"/>
    <x v="8"/>
    <x v="2"/>
  </r>
  <r>
    <d v="2023-09-22T00:00:00"/>
    <x v="218"/>
    <x v="0"/>
    <x v="12"/>
    <x v="0"/>
    <n v="3"/>
    <n v="30"/>
    <n v="90"/>
    <x v="9"/>
    <x v="0"/>
  </r>
  <r>
    <d v="2023-08-20T00:00:00"/>
    <x v="219"/>
    <x v="1"/>
    <x v="45"/>
    <x v="2"/>
    <n v="3"/>
    <n v="30"/>
    <n v="90"/>
    <x v="8"/>
    <x v="2"/>
  </r>
  <r>
    <d v="2023-03-03T00:00:00"/>
    <x v="220"/>
    <x v="0"/>
    <x v="12"/>
    <x v="0"/>
    <n v="1"/>
    <n v="500"/>
    <n v="500"/>
    <x v="5"/>
    <x v="0"/>
  </r>
  <r>
    <d v="2023-05-07T00:00:00"/>
    <x v="221"/>
    <x v="0"/>
    <x v="23"/>
    <x v="0"/>
    <n v="2"/>
    <n v="300"/>
    <n v="600"/>
    <x v="3"/>
    <x v="2"/>
  </r>
  <r>
    <d v="2023-04-26T00:00:00"/>
    <x v="222"/>
    <x v="0"/>
    <x v="25"/>
    <x v="1"/>
    <n v="4"/>
    <n v="30"/>
    <n v="120"/>
    <x v="4"/>
    <x v="5"/>
  </r>
  <r>
    <d v="2023-02-02T00:00:00"/>
    <x v="223"/>
    <x v="1"/>
    <x v="12"/>
    <x v="1"/>
    <n v="1"/>
    <n v="25"/>
    <n v="25"/>
    <x v="1"/>
    <x v="6"/>
  </r>
  <r>
    <d v="2023-06-23T00:00:00"/>
    <x v="224"/>
    <x v="1"/>
    <x v="36"/>
    <x v="1"/>
    <n v="1"/>
    <n v="50"/>
    <n v="50"/>
    <x v="10"/>
    <x v="0"/>
  </r>
  <r>
    <d v="2023-01-11T00:00:00"/>
    <x v="225"/>
    <x v="1"/>
    <x v="35"/>
    <x v="0"/>
    <n v="4"/>
    <n v="25"/>
    <n v="100"/>
    <x v="2"/>
    <x v="5"/>
  </r>
  <r>
    <d v="2023-10-29T00:00:00"/>
    <x v="226"/>
    <x v="1"/>
    <x v="39"/>
    <x v="1"/>
    <n v="1"/>
    <n v="50"/>
    <n v="50"/>
    <x v="7"/>
    <x v="2"/>
  </r>
  <r>
    <d v="2023-10-11T00:00:00"/>
    <x v="227"/>
    <x v="0"/>
    <x v="32"/>
    <x v="2"/>
    <n v="2"/>
    <n v="50"/>
    <n v="100"/>
    <x v="7"/>
    <x v="5"/>
  </r>
  <r>
    <d v="2023-04-28T00:00:00"/>
    <x v="228"/>
    <x v="1"/>
    <x v="42"/>
    <x v="2"/>
    <n v="2"/>
    <n v="30"/>
    <n v="60"/>
    <x v="4"/>
    <x v="0"/>
  </r>
  <r>
    <d v="2023-10-29T00:00:00"/>
    <x v="229"/>
    <x v="0"/>
    <x v="26"/>
    <x v="0"/>
    <n v="3"/>
    <n v="30"/>
    <n v="90"/>
    <x v="7"/>
    <x v="2"/>
  </r>
  <r>
    <d v="2023-04-23T00:00:00"/>
    <x v="230"/>
    <x v="0"/>
    <x v="31"/>
    <x v="0"/>
    <n v="1"/>
    <n v="25"/>
    <n v="25"/>
    <x v="4"/>
    <x v="2"/>
  </r>
  <r>
    <d v="2023-01-04T00:00:00"/>
    <x v="231"/>
    <x v="1"/>
    <x v="9"/>
    <x v="1"/>
    <n v="3"/>
    <n v="50"/>
    <n v="150"/>
    <x v="2"/>
    <x v="5"/>
  </r>
  <r>
    <d v="2023-02-06T00:00:00"/>
    <x v="232"/>
    <x v="1"/>
    <x v="22"/>
    <x v="0"/>
    <n v="1"/>
    <n v="25"/>
    <n v="25"/>
    <x v="1"/>
    <x v="1"/>
  </r>
  <r>
    <d v="2023-12-29T00:00:00"/>
    <x v="233"/>
    <x v="1"/>
    <x v="25"/>
    <x v="0"/>
    <n v="2"/>
    <n v="300"/>
    <n v="600"/>
    <x v="6"/>
    <x v="0"/>
  </r>
  <r>
    <d v="2023-11-20T00:00:00"/>
    <x v="234"/>
    <x v="1"/>
    <x v="17"/>
    <x v="2"/>
    <n v="2"/>
    <n v="25"/>
    <n v="50"/>
    <x v="0"/>
    <x v="1"/>
  </r>
  <r>
    <d v="2023-01-31T00:00:00"/>
    <x v="235"/>
    <x v="1"/>
    <x v="9"/>
    <x v="2"/>
    <n v="2"/>
    <n v="500"/>
    <n v="1000"/>
    <x v="2"/>
    <x v="4"/>
  </r>
  <r>
    <d v="2023-04-28T00:00:00"/>
    <x v="236"/>
    <x v="1"/>
    <x v="31"/>
    <x v="1"/>
    <n v="1"/>
    <n v="25"/>
    <n v="25"/>
    <x v="4"/>
    <x v="0"/>
  </r>
  <r>
    <d v="2023-02-04T00:00:00"/>
    <x v="237"/>
    <x v="1"/>
    <x v="2"/>
    <x v="0"/>
    <n v="2"/>
    <n v="500"/>
    <n v="1000"/>
    <x v="1"/>
    <x v="3"/>
  </r>
  <r>
    <d v="2023-01-17T00:00:00"/>
    <x v="238"/>
    <x v="1"/>
    <x v="23"/>
    <x v="0"/>
    <n v="1"/>
    <n v="500"/>
    <n v="500"/>
    <x v="2"/>
    <x v="4"/>
  </r>
  <r>
    <d v="2023-06-19T00:00:00"/>
    <x v="239"/>
    <x v="0"/>
    <x v="21"/>
    <x v="2"/>
    <n v="3"/>
    <n v="500"/>
    <n v="1500"/>
    <x v="10"/>
    <x v="1"/>
  </r>
  <r>
    <d v="2023-02-06T00:00:00"/>
    <x v="240"/>
    <x v="1"/>
    <x v="9"/>
    <x v="0"/>
    <n v="1"/>
    <n v="300"/>
    <n v="300"/>
    <x v="1"/>
    <x v="1"/>
  </r>
  <r>
    <d v="2023-09-21T00:00:00"/>
    <x v="241"/>
    <x v="1"/>
    <x v="9"/>
    <x v="2"/>
    <n v="3"/>
    <n v="25"/>
    <n v="75"/>
    <x v="9"/>
    <x v="6"/>
  </r>
  <r>
    <d v="2023-05-02T00:00:00"/>
    <x v="242"/>
    <x v="0"/>
    <x v="34"/>
    <x v="1"/>
    <n v="1"/>
    <n v="25"/>
    <n v="25"/>
    <x v="3"/>
    <x v="4"/>
  </r>
  <r>
    <d v="2023-05-23T00:00:00"/>
    <x v="243"/>
    <x v="1"/>
    <x v="16"/>
    <x v="2"/>
    <n v="3"/>
    <n v="300"/>
    <n v="900"/>
    <x v="3"/>
    <x v="4"/>
  </r>
  <r>
    <d v="2023-12-09T00:00:00"/>
    <x v="244"/>
    <x v="0"/>
    <x v="20"/>
    <x v="0"/>
    <n v="2"/>
    <n v="50"/>
    <n v="100"/>
    <x v="6"/>
    <x v="3"/>
  </r>
  <r>
    <d v="2023-09-06T00:00:00"/>
    <x v="245"/>
    <x v="0"/>
    <x v="16"/>
    <x v="1"/>
    <n v="3"/>
    <n v="30"/>
    <n v="90"/>
    <x v="9"/>
    <x v="5"/>
  </r>
  <r>
    <d v="2023-04-20T00:00:00"/>
    <x v="246"/>
    <x v="1"/>
    <x v="27"/>
    <x v="2"/>
    <n v="2"/>
    <n v="25"/>
    <n v="50"/>
    <x v="4"/>
    <x v="6"/>
  </r>
  <r>
    <d v="2023-10-04T00:00:00"/>
    <x v="247"/>
    <x v="0"/>
    <x v="41"/>
    <x v="2"/>
    <n v="2"/>
    <n v="30"/>
    <n v="60"/>
    <x v="7"/>
    <x v="5"/>
  </r>
  <r>
    <d v="2023-03-09T00:00:00"/>
    <x v="248"/>
    <x v="0"/>
    <x v="1"/>
    <x v="1"/>
    <n v="3"/>
    <n v="300"/>
    <n v="900"/>
    <x v="5"/>
    <x v="6"/>
  </r>
  <r>
    <d v="2023-10-20T00:00:00"/>
    <x v="249"/>
    <x v="0"/>
    <x v="29"/>
    <x v="1"/>
    <n v="1"/>
    <n v="50"/>
    <n v="50"/>
    <x v="7"/>
    <x v="0"/>
  </r>
  <r>
    <d v="2023-10-23T00:00:00"/>
    <x v="250"/>
    <x v="0"/>
    <x v="27"/>
    <x v="2"/>
    <n v="1"/>
    <n v="50"/>
    <n v="50"/>
    <x v="7"/>
    <x v="1"/>
  </r>
  <r>
    <d v="2023-08-31T00:00:00"/>
    <x v="251"/>
    <x v="1"/>
    <x v="35"/>
    <x v="0"/>
    <n v="4"/>
    <n v="50"/>
    <n v="200"/>
    <x v="8"/>
    <x v="6"/>
  </r>
  <r>
    <d v="2023-05-05T00:00:00"/>
    <x v="252"/>
    <x v="0"/>
    <x v="31"/>
    <x v="2"/>
    <n v="1"/>
    <n v="300"/>
    <n v="300"/>
    <x v="3"/>
    <x v="0"/>
  </r>
  <r>
    <d v="2023-08-31T00:00:00"/>
    <x v="253"/>
    <x v="1"/>
    <x v="45"/>
    <x v="1"/>
    <n v="4"/>
    <n v="500"/>
    <n v="2000"/>
    <x v="8"/>
    <x v="6"/>
  </r>
  <r>
    <d v="2023-07-28T00:00:00"/>
    <x v="254"/>
    <x v="0"/>
    <x v="41"/>
    <x v="2"/>
    <n v="1"/>
    <n v="500"/>
    <n v="500"/>
    <x v="11"/>
    <x v="0"/>
  </r>
  <r>
    <d v="2023-04-08T00:00:00"/>
    <x v="255"/>
    <x v="0"/>
    <x v="27"/>
    <x v="1"/>
    <n v="1"/>
    <n v="30"/>
    <n v="30"/>
    <x v="4"/>
    <x v="3"/>
  </r>
  <r>
    <d v="2023-02-18T00:00:00"/>
    <x v="256"/>
    <x v="0"/>
    <x v="9"/>
    <x v="1"/>
    <n v="2"/>
    <n v="500"/>
    <n v="1000"/>
    <x v="1"/>
    <x v="3"/>
  </r>
  <r>
    <d v="2023-02-19T00:00:00"/>
    <x v="257"/>
    <x v="0"/>
    <x v="14"/>
    <x v="0"/>
    <n v="4"/>
    <n v="500"/>
    <n v="2000"/>
    <x v="1"/>
    <x v="2"/>
  </r>
  <r>
    <d v="2023-12-04T00:00:00"/>
    <x v="258"/>
    <x v="1"/>
    <x v="3"/>
    <x v="1"/>
    <n v="1"/>
    <n v="50"/>
    <n v="50"/>
    <x v="6"/>
    <x v="1"/>
  </r>
  <r>
    <d v="2023-08-09T00:00:00"/>
    <x v="259"/>
    <x v="1"/>
    <x v="5"/>
    <x v="1"/>
    <n v="4"/>
    <n v="50"/>
    <n v="200"/>
    <x v="8"/>
    <x v="5"/>
  </r>
  <r>
    <d v="2023-07-01T00:00:00"/>
    <x v="260"/>
    <x v="0"/>
    <x v="20"/>
    <x v="0"/>
    <n v="2"/>
    <n v="30"/>
    <n v="60"/>
    <x v="11"/>
    <x v="3"/>
  </r>
  <r>
    <d v="2023-08-05T00:00:00"/>
    <x v="261"/>
    <x v="0"/>
    <x v="34"/>
    <x v="1"/>
    <n v="2"/>
    <n v="25"/>
    <n v="50"/>
    <x v="8"/>
    <x v="3"/>
  </r>
  <r>
    <d v="2023-07-30T00:00:00"/>
    <x v="262"/>
    <x v="1"/>
    <x v="40"/>
    <x v="0"/>
    <n v="4"/>
    <n v="30"/>
    <n v="120"/>
    <x v="11"/>
    <x v="2"/>
  </r>
  <r>
    <d v="2023-08-28T00:00:00"/>
    <x v="263"/>
    <x v="0"/>
    <x v="9"/>
    <x v="0"/>
    <n v="2"/>
    <n v="30"/>
    <n v="60"/>
    <x v="8"/>
    <x v="1"/>
  </r>
  <r>
    <d v="2023-01-28T00:00:00"/>
    <x v="264"/>
    <x v="0"/>
    <x v="16"/>
    <x v="1"/>
    <n v="3"/>
    <n v="300"/>
    <n v="900"/>
    <x v="2"/>
    <x v="3"/>
  </r>
  <r>
    <d v="2023-12-11T00:00:00"/>
    <x v="265"/>
    <x v="0"/>
    <x v="28"/>
    <x v="1"/>
    <n v="3"/>
    <n v="300"/>
    <n v="900"/>
    <x v="6"/>
    <x v="1"/>
  </r>
  <r>
    <d v="2023-12-01T00:00:00"/>
    <x v="266"/>
    <x v="1"/>
    <x v="14"/>
    <x v="2"/>
    <n v="2"/>
    <n v="30"/>
    <n v="60"/>
    <x v="6"/>
    <x v="0"/>
  </r>
  <r>
    <d v="2023-11-27T00:00:00"/>
    <x v="267"/>
    <x v="1"/>
    <x v="40"/>
    <x v="0"/>
    <n v="3"/>
    <n v="30"/>
    <n v="90"/>
    <x v="0"/>
    <x v="1"/>
  </r>
  <r>
    <d v="2023-02-20T00:00:00"/>
    <x v="268"/>
    <x v="1"/>
    <x v="20"/>
    <x v="2"/>
    <n v="1"/>
    <n v="30"/>
    <n v="30"/>
    <x v="1"/>
    <x v="1"/>
  </r>
  <r>
    <d v="2023-02-01T00:00:00"/>
    <x v="269"/>
    <x v="0"/>
    <x v="36"/>
    <x v="1"/>
    <n v="4"/>
    <n v="500"/>
    <n v="2000"/>
    <x v="1"/>
    <x v="5"/>
  </r>
  <r>
    <d v="2023-07-26T00:00:00"/>
    <x v="270"/>
    <x v="0"/>
    <x v="22"/>
    <x v="2"/>
    <n v="1"/>
    <n v="300"/>
    <n v="300"/>
    <x v="11"/>
    <x v="5"/>
  </r>
  <r>
    <d v="2023-06-23T00:00:00"/>
    <x v="271"/>
    <x v="1"/>
    <x v="17"/>
    <x v="0"/>
    <n v="4"/>
    <n v="30"/>
    <n v="120"/>
    <x v="10"/>
    <x v="0"/>
  </r>
  <r>
    <d v="2023-02-25T00:00:00"/>
    <x v="272"/>
    <x v="1"/>
    <x v="39"/>
    <x v="2"/>
    <n v="2"/>
    <n v="50"/>
    <n v="100"/>
    <x v="1"/>
    <x v="3"/>
  </r>
  <r>
    <d v="2023-05-08T00:00:00"/>
    <x v="273"/>
    <x v="1"/>
    <x v="11"/>
    <x v="0"/>
    <n v="1"/>
    <n v="50"/>
    <n v="50"/>
    <x v="3"/>
    <x v="1"/>
  </r>
  <r>
    <d v="2023-04-09T00:00:00"/>
    <x v="274"/>
    <x v="1"/>
    <x v="9"/>
    <x v="1"/>
    <n v="2"/>
    <n v="500"/>
    <n v="1000"/>
    <x v="4"/>
    <x v="2"/>
  </r>
  <r>
    <d v="2023-04-08T00:00:00"/>
    <x v="275"/>
    <x v="0"/>
    <x v="22"/>
    <x v="1"/>
    <n v="2"/>
    <n v="500"/>
    <n v="1000"/>
    <x v="4"/>
    <x v="3"/>
  </r>
  <r>
    <d v="2023-10-02T00:00:00"/>
    <x v="276"/>
    <x v="1"/>
    <x v="34"/>
    <x v="0"/>
    <n v="4"/>
    <n v="25"/>
    <n v="100"/>
    <x v="7"/>
    <x v="1"/>
  </r>
  <r>
    <d v="2023-08-18T00:00:00"/>
    <x v="277"/>
    <x v="0"/>
    <x v="32"/>
    <x v="1"/>
    <n v="4"/>
    <n v="25"/>
    <n v="100"/>
    <x v="8"/>
    <x v="0"/>
  </r>
  <r>
    <d v="2023-03-13T00:00:00"/>
    <x v="278"/>
    <x v="1"/>
    <x v="3"/>
    <x v="1"/>
    <n v="4"/>
    <n v="25"/>
    <n v="100"/>
    <x v="5"/>
    <x v="1"/>
  </r>
  <r>
    <d v="2023-08-05T00:00:00"/>
    <x v="279"/>
    <x v="0"/>
    <x v="2"/>
    <x v="1"/>
    <n v="1"/>
    <n v="500"/>
    <n v="500"/>
    <x v="8"/>
    <x v="3"/>
  </r>
  <r>
    <d v="2023-04-04T00:00:00"/>
    <x v="280"/>
    <x v="1"/>
    <x v="3"/>
    <x v="1"/>
    <n v="3"/>
    <n v="500"/>
    <n v="1500"/>
    <x v="4"/>
    <x v="4"/>
  </r>
  <r>
    <d v="2023-05-23T00:00:00"/>
    <x v="281"/>
    <x v="1"/>
    <x v="38"/>
    <x v="0"/>
    <n v="4"/>
    <n v="500"/>
    <n v="2000"/>
    <x v="3"/>
    <x v="4"/>
  </r>
  <r>
    <d v="2023-08-25T00:00:00"/>
    <x v="282"/>
    <x v="1"/>
    <x v="12"/>
    <x v="2"/>
    <n v="4"/>
    <n v="50"/>
    <n v="200"/>
    <x v="8"/>
    <x v="0"/>
  </r>
  <r>
    <d v="2023-05-08T00:00:00"/>
    <x v="283"/>
    <x v="1"/>
    <x v="18"/>
    <x v="2"/>
    <n v="1"/>
    <n v="500"/>
    <n v="500"/>
    <x v="3"/>
    <x v="1"/>
  </r>
  <r>
    <d v="2023-02-08T00:00:00"/>
    <x v="284"/>
    <x v="0"/>
    <x v="22"/>
    <x v="1"/>
    <n v="4"/>
    <n v="50"/>
    <n v="200"/>
    <x v="1"/>
    <x v="5"/>
  </r>
  <r>
    <d v="2023-08-15T00:00:00"/>
    <x v="285"/>
    <x v="1"/>
    <x v="33"/>
    <x v="2"/>
    <n v="1"/>
    <n v="25"/>
    <n v="25"/>
    <x v="8"/>
    <x v="4"/>
  </r>
  <r>
    <d v="2023-10-09T00:00:00"/>
    <x v="286"/>
    <x v="0"/>
    <x v="28"/>
    <x v="2"/>
    <n v="2"/>
    <n v="25"/>
    <n v="50"/>
    <x v="7"/>
    <x v="1"/>
  </r>
  <r>
    <d v="2023-02-20T00:00:00"/>
    <x v="287"/>
    <x v="0"/>
    <x v="31"/>
    <x v="1"/>
    <n v="4"/>
    <n v="25"/>
    <n v="100"/>
    <x v="1"/>
    <x v="1"/>
  </r>
  <r>
    <d v="2023-01-26T00:00:00"/>
    <x v="288"/>
    <x v="0"/>
    <x v="20"/>
    <x v="1"/>
    <n v="4"/>
    <n v="30"/>
    <n v="120"/>
    <x v="2"/>
    <x v="6"/>
  </r>
  <r>
    <d v="2023-11-30T00:00:00"/>
    <x v="289"/>
    <x v="0"/>
    <x v="45"/>
    <x v="2"/>
    <n v="2"/>
    <n v="30"/>
    <n v="60"/>
    <x v="0"/>
    <x v="6"/>
  </r>
  <r>
    <d v="2023-10-04T00:00:00"/>
    <x v="290"/>
    <x v="1"/>
    <x v="4"/>
    <x v="0"/>
    <n v="2"/>
    <n v="300"/>
    <n v="600"/>
    <x v="7"/>
    <x v="5"/>
  </r>
  <r>
    <d v="2023-01-08T00:00:00"/>
    <x v="291"/>
    <x v="0"/>
    <x v="43"/>
    <x v="1"/>
    <n v="2"/>
    <n v="300"/>
    <n v="600"/>
    <x v="2"/>
    <x v="2"/>
  </r>
  <r>
    <d v="2023-02-17T00:00:00"/>
    <x v="292"/>
    <x v="0"/>
    <x v="29"/>
    <x v="0"/>
    <n v="4"/>
    <n v="300"/>
    <n v="1200"/>
    <x v="1"/>
    <x v="0"/>
  </r>
  <r>
    <d v="2023-05-02T00:00:00"/>
    <x v="293"/>
    <x v="0"/>
    <x v="2"/>
    <x v="2"/>
    <n v="3"/>
    <n v="30"/>
    <n v="90"/>
    <x v="3"/>
    <x v="4"/>
  </r>
  <r>
    <d v="2023-03-27T00:00:00"/>
    <x v="294"/>
    <x v="1"/>
    <x v="9"/>
    <x v="1"/>
    <n v="3"/>
    <n v="30"/>
    <n v="90"/>
    <x v="5"/>
    <x v="1"/>
  </r>
  <r>
    <d v="2023-07-28T00:00:00"/>
    <x v="295"/>
    <x v="1"/>
    <x v="15"/>
    <x v="0"/>
    <n v="3"/>
    <n v="300"/>
    <n v="900"/>
    <x v="11"/>
    <x v="0"/>
  </r>
  <r>
    <d v="2023-09-06T00:00:00"/>
    <x v="296"/>
    <x v="1"/>
    <x v="11"/>
    <x v="1"/>
    <n v="4"/>
    <n v="300"/>
    <n v="1200"/>
    <x v="9"/>
    <x v="5"/>
  </r>
  <r>
    <d v="2023-09-04T00:00:00"/>
    <x v="297"/>
    <x v="1"/>
    <x v="30"/>
    <x v="2"/>
    <n v="2"/>
    <n v="500"/>
    <n v="1000"/>
    <x v="9"/>
    <x v="1"/>
  </r>
  <r>
    <d v="2023-04-20T00:00:00"/>
    <x v="298"/>
    <x v="0"/>
    <x v="15"/>
    <x v="0"/>
    <n v="4"/>
    <n v="300"/>
    <n v="1200"/>
    <x v="4"/>
    <x v="6"/>
  </r>
  <r>
    <d v="2023-07-25T00:00:00"/>
    <x v="299"/>
    <x v="0"/>
    <x v="39"/>
    <x v="2"/>
    <n v="2"/>
    <n v="500"/>
    <n v="1000"/>
    <x v="11"/>
    <x v="4"/>
  </r>
  <r>
    <d v="2023-01-31T00:00:00"/>
    <x v="300"/>
    <x v="1"/>
    <x v="14"/>
    <x v="2"/>
    <n v="4"/>
    <n v="50"/>
    <n v="200"/>
    <x v="2"/>
    <x v="4"/>
  </r>
  <r>
    <d v="2023-03-26T00:00:00"/>
    <x v="301"/>
    <x v="0"/>
    <x v="4"/>
    <x v="1"/>
    <n v="4"/>
    <n v="30"/>
    <n v="120"/>
    <x v="5"/>
    <x v="2"/>
  </r>
  <r>
    <d v="2023-07-14T00:00:00"/>
    <x v="302"/>
    <x v="0"/>
    <x v="35"/>
    <x v="0"/>
    <n v="2"/>
    <n v="300"/>
    <n v="600"/>
    <x v="11"/>
    <x v="0"/>
  </r>
  <r>
    <d v="2023-01-02T00:00:00"/>
    <x v="303"/>
    <x v="0"/>
    <x v="14"/>
    <x v="2"/>
    <n v="3"/>
    <n v="30"/>
    <n v="90"/>
    <x v="2"/>
    <x v="1"/>
  </r>
  <r>
    <d v="2023-07-19T00:00:00"/>
    <x v="304"/>
    <x v="1"/>
    <x v="3"/>
    <x v="2"/>
    <n v="2"/>
    <n v="30"/>
    <n v="60"/>
    <x v="11"/>
    <x v="5"/>
  </r>
  <r>
    <d v="2023-05-16T00:00:00"/>
    <x v="305"/>
    <x v="1"/>
    <x v="18"/>
    <x v="0"/>
    <n v="1"/>
    <n v="30"/>
    <n v="30"/>
    <x v="3"/>
    <x v="4"/>
  </r>
  <r>
    <d v="2023-08-21T00:00:00"/>
    <x v="306"/>
    <x v="0"/>
    <x v="31"/>
    <x v="2"/>
    <n v="1"/>
    <n v="50"/>
    <n v="50"/>
    <x v="8"/>
    <x v="1"/>
  </r>
  <r>
    <d v="2023-05-27T00:00:00"/>
    <x v="307"/>
    <x v="1"/>
    <x v="1"/>
    <x v="2"/>
    <n v="2"/>
    <n v="25"/>
    <n v="50"/>
    <x v="3"/>
    <x v="3"/>
  </r>
  <r>
    <d v="2023-08-05T00:00:00"/>
    <x v="308"/>
    <x v="1"/>
    <x v="0"/>
    <x v="0"/>
    <n v="4"/>
    <n v="300"/>
    <n v="1200"/>
    <x v="8"/>
    <x v="3"/>
  </r>
  <r>
    <d v="2023-12-23T00:00:00"/>
    <x v="309"/>
    <x v="1"/>
    <x v="1"/>
    <x v="0"/>
    <n v="1"/>
    <n v="25"/>
    <n v="25"/>
    <x v="6"/>
    <x v="3"/>
  </r>
  <r>
    <d v="2023-10-12T00:00:00"/>
    <x v="310"/>
    <x v="1"/>
    <x v="20"/>
    <x v="0"/>
    <n v="1"/>
    <n v="25"/>
    <n v="25"/>
    <x v="7"/>
    <x v="6"/>
  </r>
  <r>
    <d v="2023-12-05T00:00:00"/>
    <x v="311"/>
    <x v="1"/>
    <x v="40"/>
    <x v="0"/>
    <n v="4"/>
    <n v="25"/>
    <n v="100"/>
    <x v="6"/>
    <x v="4"/>
  </r>
  <r>
    <d v="2023-09-07T00:00:00"/>
    <x v="312"/>
    <x v="0"/>
    <x v="41"/>
    <x v="1"/>
    <n v="4"/>
    <n v="30"/>
    <n v="120"/>
    <x v="9"/>
    <x v="6"/>
  </r>
  <r>
    <d v="2023-03-21T00:00:00"/>
    <x v="313"/>
    <x v="1"/>
    <x v="28"/>
    <x v="0"/>
    <n v="3"/>
    <n v="500"/>
    <n v="1500"/>
    <x v="5"/>
    <x v="4"/>
  </r>
  <r>
    <d v="2023-04-08T00:00:00"/>
    <x v="314"/>
    <x v="0"/>
    <x v="8"/>
    <x v="1"/>
    <n v="4"/>
    <n v="30"/>
    <n v="120"/>
    <x v="4"/>
    <x v="3"/>
  </r>
  <r>
    <d v="2023-06-01T00:00:00"/>
    <x v="315"/>
    <x v="0"/>
    <x v="16"/>
    <x v="1"/>
    <n v="2"/>
    <n v="30"/>
    <n v="60"/>
    <x v="10"/>
    <x v="6"/>
  </r>
  <r>
    <d v="2023-04-22T00:00:00"/>
    <x v="316"/>
    <x v="1"/>
    <x v="27"/>
    <x v="1"/>
    <n v="2"/>
    <n v="25"/>
    <n v="50"/>
    <x v="4"/>
    <x v="3"/>
  </r>
  <r>
    <d v="2023-01-30T00:00:00"/>
    <x v="317"/>
    <x v="0"/>
    <x v="11"/>
    <x v="2"/>
    <n v="3"/>
    <n v="30"/>
    <n v="90"/>
    <x v="2"/>
    <x v="1"/>
  </r>
  <r>
    <d v="2023-10-24T00:00:00"/>
    <x v="318"/>
    <x v="0"/>
    <x v="39"/>
    <x v="1"/>
    <n v="1"/>
    <n v="25"/>
    <n v="25"/>
    <x v="7"/>
    <x v="4"/>
  </r>
  <r>
    <d v="2023-10-05T00:00:00"/>
    <x v="319"/>
    <x v="0"/>
    <x v="33"/>
    <x v="1"/>
    <n v="1"/>
    <n v="500"/>
    <n v="500"/>
    <x v="7"/>
    <x v="6"/>
  </r>
  <r>
    <d v="2023-02-01T00:00:00"/>
    <x v="320"/>
    <x v="1"/>
    <x v="20"/>
    <x v="2"/>
    <n v="4"/>
    <n v="300"/>
    <n v="1200"/>
    <x v="1"/>
    <x v="5"/>
  </r>
  <r>
    <d v="2023-06-10T00:00:00"/>
    <x v="321"/>
    <x v="1"/>
    <x v="1"/>
    <x v="2"/>
    <n v="2"/>
    <n v="25"/>
    <n v="50"/>
    <x v="10"/>
    <x v="3"/>
  </r>
  <r>
    <d v="2023-01-30T00:00:00"/>
    <x v="322"/>
    <x v="0"/>
    <x v="25"/>
    <x v="2"/>
    <n v="1"/>
    <n v="500"/>
    <n v="500"/>
    <x v="2"/>
    <x v="1"/>
  </r>
  <r>
    <d v="2023-01-26T00:00:00"/>
    <x v="323"/>
    <x v="1"/>
    <x v="38"/>
    <x v="0"/>
    <n v="3"/>
    <n v="300"/>
    <n v="900"/>
    <x v="2"/>
    <x v="6"/>
  </r>
  <r>
    <d v="2023-10-27T00:00:00"/>
    <x v="324"/>
    <x v="1"/>
    <x v="8"/>
    <x v="2"/>
    <n v="3"/>
    <n v="50"/>
    <n v="150"/>
    <x v="7"/>
    <x v="0"/>
  </r>
  <r>
    <d v="2023-09-02T00:00:00"/>
    <x v="325"/>
    <x v="1"/>
    <x v="8"/>
    <x v="2"/>
    <n v="2"/>
    <n v="25"/>
    <n v="50"/>
    <x v="9"/>
    <x v="3"/>
  </r>
  <r>
    <d v="2023-09-15T00:00:00"/>
    <x v="326"/>
    <x v="1"/>
    <x v="18"/>
    <x v="1"/>
    <n v="3"/>
    <n v="25"/>
    <n v="75"/>
    <x v="9"/>
    <x v="0"/>
  </r>
  <r>
    <d v="2023-09-29T00:00:00"/>
    <x v="327"/>
    <x v="0"/>
    <x v="35"/>
    <x v="2"/>
    <n v="3"/>
    <n v="50"/>
    <n v="150"/>
    <x v="9"/>
    <x v="0"/>
  </r>
  <r>
    <d v="2023-03-22T00:00:00"/>
    <x v="328"/>
    <x v="0"/>
    <x v="23"/>
    <x v="0"/>
    <n v="2"/>
    <n v="50"/>
    <n v="100"/>
    <x v="5"/>
    <x v="5"/>
  </r>
  <r>
    <d v="2023-01-30T00:00:00"/>
    <x v="329"/>
    <x v="1"/>
    <x v="6"/>
    <x v="2"/>
    <n v="4"/>
    <n v="25"/>
    <n v="100"/>
    <x v="2"/>
    <x v="1"/>
  </r>
  <r>
    <d v="2023-09-18T00:00:00"/>
    <x v="330"/>
    <x v="1"/>
    <x v="36"/>
    <x v="0"/>
    <n v="4"/>
    <n v="50"/>
    <n v="200"/>
    <x v="9"/>
    <x v="1"/>
  </r>
  <r>
    <d v="2023-02-11T00:00:00"/>
    <x v="331"/>
    <x v="0"/>
    <x v="20"/>
    <x v="2"/>
    <n v="3"/>
    <n v="30"/>
    <n v="90"/>
    <x v="1"/>
    <x v="3"/>
  </r>
  <r>
    <d v="2023-04-06T00:00:00"/>
    <x v="332"/>
    <x v="0"/>
    <x v="26"/>
    <x v="2"/>
    <n v="4"/>
    <n v="300"/>
    <n v="1200"/>
    <x v="4"/>
    <x v="6"/>
  </r>
  <r>
    <d v="2023-02-05T00:00:00"/>
    <x v="333"/>
    <x v="1"/>
    <x v="31"/>
    <x v="2"/>
    <n v="4"/>
    <n v="300"/>
    <n v="1200"/>
    <x v="1"/>
    <x v="2"/>
  </r>
  <r>
    <d v="2023-11-01T00:00:00"/>
    <x v="334"/>
    <x v="0"/>
    <x v="33"/>
    <x v="2"/>
    <n v="3"/>
    <n v="300"/>
    <n v="900"/>
    <x v="0"/>
    <x v="5"/>
  </r>
  <r>
    <d v="2023-02-04T00:00:00"/>
    <x v="335"/>
    <x v="1"/>
    <x v="16"/>
    <x v="0"/>
    <n v="4"/>
    <n v="30"/>
    <n v="120"/>
    <x v="1"/>
    <x v="3"/>
  </r>
  <r>
    <d v="2023-12-12T00:00:00"/>
    <x v="336"/>
    <x v="1"/>
    <x v="8"/>
    <x v="0"/>
    <n v="3"/>
    <n v="50"/>
    <n v="150"/>
    <x v="6"/>
    <x v="4"/>
  </r>
  <r>
    <d v="2023-05-01T00:00:00"/>
    <x v="337"/>
    <x v="0"/>
    <x v="21"/>
    <x v="1"/>
    <n v="1"/>
    <n v="500"/>
    <n v="500"/>
    <x v="3"/>
    <x v="1"/>
  </r>
  <r>
    <d v="2023-07-26T00:00:00"/>
    <x v="338"/>
    <x v="0"/>
    <x v="31"/>
    <x v="0"/>
    <n v="2"/>
    <n v="50"/>
    <n v="100"/>
    <x v="11"/>
    <x v="5"/>
  </r>
  <r>
    <d v="2023-03-03T00:00:00"/>
    <x v="339"/>
    <x v="1"/>
    <x v="11"/>
    <x v="2"/>
    <n v="2"/>
    <n v="25"/>
    <n v="50"/>
    <x v="5"/>
    <x v="0"/>
  </r>
  <r>
    <d v="2023-10-19T00:00:00"/>
    <x v="340"/>
    <x v="1"/>
    <x v="32"/>
    <x v="1"/>
    <n v="4"/>
    <n v="300"/>
    <n v="1200"/>
    <x v="7"/>
    <x v="6"/>
  </r>
  <r>
    <d v="2023-05-07T00:00:00"/>
    <x v="341"/>
    <x v="0"/>
    <x v="33"/>
    <x v="1"/>
    <n v="4"/>
    <n v="50"/>
    <n v="200"/>
    <x v="3"/>
    <x v="2"/>
  </r>
  <r>
    <d v="2023-10-24T00:00:00"/>
    <x v="342"/>
    <x v="1"/>
    <x v="22"/>
    <x v="1"/>
    <n v="4"/>
    <n v="500"/>
    <n v="2000"/>
    <x v="7"/>
    <x v="4"/>
  </r>
  <r>
    <d v="2023-11-01T00:00:00"/>
    <x v="343"/>
    <x v="0"/>
    <x v="34"/>
    <x v="2"/>
    <n v="2"/>
    <n v="25"/>
    <n v="50"/>
    <x v="0"/>
    <x v="5"/>
  </r>
  <r>
    <d v="2023-01-21T00:00:00"/>
    <x v="344"/>
    <x v="1"/>
    <x v="13"/>
    <x v="0"/>
    <n v="1"/>
    <n v="30"/>
    <n v="30"/>
    <x v="2"/>
    <x v="3"/>
  </r>
  <r>
    <d v="2023-11-14T00:00:00"/>
    <x v="345"/>
    <x v="0"/>
    <x v="17"/>
    <x v="2"/>
    <n v="1"/>
    <n v="30"/>
    <n v="30"/>
    <x v="0"/>
    <x v="4"/>
  </r>
  <r>
    <d v="2023-02-11T00:00:00"/>
    <x v="346"/>
    <x v="0"/>
    <x v="42"/>
    <x v="1"/>
    <n v="2"/>
    <n v="500"/>
    <n v="1000"/>
    <x v="1"/>
    <x v="3"/>
  </r>
  <r>
    <d v="2023-08-03T00:00:00"/>
    <x v="347"/>
    <x v="0"/>
    <x v="13"/>
    <x v="2"/>
    <n v="1"/>
    <n v="25"/>
    <n v="25"/>
    <x v="8"/>
    <x v="6"/>
  </r>
  <r>
    <d v="2023-12-03T00:00:00"/>
    <x v="348"/>
    <x v="1"/>
    <x v="10"/>
    <x v="2"/>
    <n v="2"/>
    <n v="300"/>
    <n v="600"/>
    <x v="6"/>
    <x v="2"/>
  </r>
  <r>
    <d v="2023-10-26T00:00:00"/>
    <x v="349"/>
    <x v="1"/>
    <x v="35"/>
    <x v="0"/>
    <n v="1"/>
    <n v="50"/>
    <n v="50"/>
    <x v="7"/>
    <x v="6"/>
  </r>
  <r>
    <d v="2023-10-17T00:00:00"/>
    <x v="350"/>
    <x v="0"/>
    <x v="36"/>
    <x v="0"/>
    <n v="3"/>
    <n v="25"/>
    <n v="75"/>
    <x v="7"/>
    <x v="4"/>
  </r>
  <r>
    <d v="2023-09-25T00:00:00"/>
    <x v="351"/>
    <x v="1"/>
    <x v="37"/>
    <x v="1"/>
    <n v="3"/>
    <n v="30"/>
    <n v="90"/>
    <x v="9"/>
    <x v="1"/>
  </r>
  <r>
    <d v="2023-06-11T00:00:00"/>
    <x v="352"/>
    <x v="0"/>
    <x v="35"/>
    <x v="2"/>
    <n v="2"/>
    <n v="500"/>
    <n v="1000"/>
    <x v="10"/>
    <x v="2"/>
  </r>
  <r>
    <d v="2023-05-14T00:00:00"/>
    <x v="353"/>
    <x v="0"/>
    <x v="33"/>
    <x v="2"/>
    <n v="1"/>
    <n v="500"/>
    <n v="500"/>
    <x v="3"/>
    <x v="2"/>
  </r>
  <r>
    <d v="2023-04-15T00:00:00"/>
    <x v="354"/>
    <x v="1"/>
    <x v="19"/>
    <x v="0"/>
    <n v="4"/>
    <n v="50"/>
    <n v="200"/>
    <x v="4"/>
    <x v="3"/>
  </r>
  <r>
    <d v="2023-12-09T00:00:00"/>
    <x v="355"/>
    <x v="1"/>
    <x v="28"/>
    <x v="2"/>
    <n v="1"/>
    <n v="500"/>
    <n v="500"/>
    <x v="6"/>
    <x v="3"/>
  </r>
  <r>
    <d v="2023-06-10T00:00:00"/>
    <x v="356"/>
    <x v="0"/>
    <x v="2"/>
    <x v="2"/>
    <n v="3"/>
    <n v="500"/>
    <n v="1500"/>
    <x v="10"/>
    <x v="3"/>
  </r>
  <r>
    <d v="2023-05-03T00:00:00"/>
    <x v="357"/>
    <x v="1"/>
    <x v="30"/>
    <x v="2"/>
    <n v="3"/>
    <n v="25"/>
    <n v="75"/>
    <x v="3"/>
    <x v="5"/>
  </r>
  <r>
    <d v="2023-05-16T00:00:00"/>
    <x v="358"/>
    <x v="1"/>
    <x v="40"/>
    <x v="0"/>
    <n v="1"/>
    <n v="300"/>
    <n v="300"/>
    <x v="3"/>
    <x v="4"/>
  </r>
  <r>
    <d v="2023-07-22T00:00:00"/>
    <x v="359"/>
    <x v="0"/>
    <x v="2"/>
    <x v="1"/>
    <n v="1"/>
    <n v="50"/>
    <n v="50"/>
    <x v="11"/>
    <x v="3"/>
  </r>
  <r>
    <d v="2023-03-09T00:00:00"/>
    <x v="360"/>
    <x v="0"/>
    <x v="13"/>
    <x v="1"/>
    <n v="4"/>
    <n v="25"/>
    <n v="100"/>
    <x v="5"/>
    <x v="6"/>
  </r>
  <r>
    <d v="2023-12-10T00:00:00"/>
    <x v="361"/>
    <x v="1"/>
    <x v="0"/>
    <x v="2"/>
    <n v="4"/>
    <n v="300"/>
    <n v="1200"/>
    <x v="6"/>
    <x v="2"/>
  </r>
  <r>
    <d v="2023-11-27T00:00:00"/>
    <x v="362"/>
    <x v="0"/>
    <x v="2"/>
    <x v="1"/>
    <n v="1"/>
    <n v="25"/>
    <n v="25"/>
    <x v="0"/>
    <x v="1"/>
  </r>
  <r>
    <d v="2023-06-03T00:00:00"/>
    <x v="363"/>
    <x v="0"/>
    <x v="12"/>
    <x v="0"/>
    <n v="1"/>
    <n v="25"/>
    <n v="25"/>
    <x v="10"/>
    <x v="3"/>
  </r>
  <r>
    <d v="2023-08-23T00:00:00"/>
    <x v="364"/>
    <x v="1"/>
    <x v="14"/>
    <x v="0"/>
    <n v="1"/>
    <n v="500"/>
    <n v="500"/>
    <x v="8"/>
    <x v="5"/>
  </r>
  <r>
    <d v="2023-06-11T00:00:00"/>
    <x v="365"/>
    <x v="0"/>
    <x v="33"/>
    <x v="1"/>
    <n v="1"/>
    <n v="300"/>
    <n v="300"/>
    <x v="10"/>
    <x v="2"/>
  </r>
  <r>
    <d v="2023-02-07T00:00:00"/>
    <x v="366"/>
    <x v="0"/>
    <x v="35"/>
    <x v="1"/>
    <n v="2"/>
    <n v="50"/>
    <n v="100"/>
    <x v="1"/>
    <x v="4"/>
  </r>
  <r>
    <d v="2023-01-05T00:00:00"/>
    <x v="367"/>
    <x v="1"/>
    <x v="35"/>
    <x v="2"/>
    <n v="1"/>
    <n v="50"/>
    <n v="50"/>
    <x v="2"/>
    <x v="6"/>
  </r>
  <r>
    <d v="2023-08-23T00:00:00"/>
    <x v="368"/>
    <x v="1"/>
    <x v="37"/>
    <x v="1"/>
    <n v="4"/>
    <n v="300"/>
    <n v="1200"/>
    <x v="8"/>
    <x v="5"/>
  </r>
  <r>
    <d v="2023-11-15T00:00:00"/>
    <x v="369"/>
    <x v="0"/>
    <x v="9"/>
    <x v="2"/>
    <n v="3"/>
    <n v="500"/>
    <n v="1500"/>
    <x v="0"/>
    <x v="5"/>
  </r>
  <r>
    <d v="2023-10-16T00:00:00"/>
    <x v="370"/>
    <x v="0"/>
    <x v="9"/>
    <x v="2"/>
    <n v="2"/>
    <n v="30"/>
    <n v="60"/>
    <x v="7"/>
    <x v="1"/>
  </r>
  <r>
    <d v="2023-02-21T00:00:00"/>
    <x v="371"/>
    <x v="1"/>
    <x v="29"/>
    <x v="0"/>
    <n v="1"/>
    <n v="25"/>
    <n v="25"/>
    <x v="1"/>
    <x v="4"/>
  </r>
  <r>
    <d v="2023-02-07T00:00:00"/>
    <x v="372"/>
    <x v="1"/>
    <x v="46"/>
    <x v="0"/>
    <n v="3"/>
    <n v="500"/>
    <n v="1500"/>
    <x v="1"/>
    <x v="4"/>
  </r>
  <r>
    <d v="2023-10-03T00:00:00"/>
    <x v="373"/>
    <x v="1"/>
    <x v="36"/>
    <x v="0"/>
    <n v="2"/>
    <n v="300"/>
    <n v="600"/>
    <x v="7"/>
    <x v="4"/>
  </r>
  <r>
    <d v="2023-04-20T00:00:00"/>
    <x v="374"/>
    <x v="1"/>
    <x v="42"/>
    <x v="0"/>
    <n v="3"/>
    <n v="25"/>
    <n v="75"/>
    <x v="4"/>
    <x v="6"/>
  </r>
  <r>
    <d v="2023-09-17T00:00:00"/>
    <x v="375"/>
    <x v="0"/>
    <x v="40"/>
    <x v="1"/>
    <n v="1"/>
    <n v="50"/>
    <n v="50"/>
    <x v="9"/>
    <x v="2"/>
  </r>
  <r>
    <d v="2023-05-16T00:00:00"/>
    <x v="376"/>
    <x v="1"/>
    <x v="12"/>
    <x v="0"/>
    <n v="1"/>
    <n v="30"/>
    <n v="30"/>
    <x v="3"/>
    <x v="4"/>
  </r>
  <r>
    <d v="2023-03-09T00:00:00"/>
    <x v="377"/>
    <x v="1"/>
    <x v="6"/>
    <x v="1"/>
    <n v="4"/>
    <n v="50"/>
    <n v="200"/>
    <x v="5"/>
    <x v="6"/>
  </r>
  <r>
    <d v="2023-06-28T00:00:00"/>
    <x v="378"/>
    <x v="0"/>
    <x v="2"/>
    <x v="0"/>
    <n v="1"/>
    <n v="300"/>
    <n v="300"/>
    <x v="10"/>
    <x v="5"/>
  </r>
  <r>
    <d v="2023-02-05T00:00:00"/>
    <x v="379"/>
    <x v="1"/>
    <x v="16"/>
    <x v="1"/>
    <n v="1"/>
    <n v="25"/>
    <n v="25"/>
    <x v="1"/>
    <x v="2"/>
  </r>
  <r>
    <d v="2023-05-06T00:00:00"/>
    <x v="380"/>
    <x v="0"/>
    <x v="37"/>
    <x v="2"/>
    <n v="2"/>
    <n v="300"/>
    <n v="600"/>
    <x v="3"/>
    <x v="3"/>
  </r>
  <r>
    <d v="2023-07-09T00:00:00"/>
    <x v="381"/>
    <x v="1"/>
    <x v="24"/>
    <x v="1"/>
    <n v="4"/>
    <n v="25"/>
    <n v="100"/>
    <x v="11"/>
    <x v="2"/>
  </r>
  <r>
    <d v="2023-05-26T00:00:00"/>
    <x v="382"/>
    <x v="1"/>
    <x v="45"/>
    <x v="1"/>
    <n v="2"/>
    <n v="500"/>
    <n v="1000"/>
    <x v="3"/>
    <x v="0"/>
  </r>
  <r>
    <d v="2023-03-22T00:00:00"/>
    <x v="383"/>
    <x v="1"/>
    <x v="6"/>
    <x v="0"/>
    <n v="3"/>
    <n v="30"/>
    <n v="90"/>
    <x v="5"/>
    <x v="5"/>
  </r>
  <r>
    <d v="2023-08-13T00:00:00"/>
    <x v="384"/>
    <x v="0"/>
    <x v="28"/>
    <x v="1"/>
    <n v="1"/>
    <n v="500"/>
    <n v="500"/>
    <x v="8"/>
    <x v="2"/>
  </r>
  <r>
    <d v="2023-10-06T00:00:00"/>
    <x v="385"/>
    <x v="0"/>
    <x v="2"/>
    <x v="2"/>
    <n v="3"/>
    <n v="500"/>
    <n v="1500"/>
    <x v="7"/>
    <x v="0"/>
  </r>
  <r>
    <d v="2023-12-27T00:00:00"/>
    <x v="386"/>
    <x v="1"/>
    <x v="31"/>
    <x v="2"/>
    <n v="2"/>
    <n v="300"/>
    <n v="600"/>
    <x v="6"/>
    <x v="5"/>
  </r>
  <r>
    <d v="2023-06-04T00:00:00"/>
    <x v="387"/>
    <x v="0"/>
    <x v="24"/>
    <x v="0"/>
    <n v="1"/>
    <n v="30"/>
    <n v="30"/>
    <x v="10"/>
    <x v="2"/>
  </r>
  <r>
    <d v="2023-11-10T00:00:00"/>
    <x v="388"/>
    <x v="0"/>
    <x v="2"/>
    <x v="2"/>
    <n v="1"/>
    <n v="25"/>
    <n v="25"/>
    <x v="0"/>
    <x v="0"/>
  </r>
  <r>
    <d v="2023-12-01T00:00:00"/>
    <x v="389"/>
    <x v="0"/>
    <x v="34"/>
    <x v="1"/>
    <n v="2"/>
    <n v="25"/>
    <n v="50"/>
    <x v="6"/>
    <x v="0"/>
  </r>
  <r>
    <d v="2023-09-28T00:00:00"/>
    <x v="390"/>
    <x v="0"/>
    <x v="23"/>
    <x v="2"/>
    <n v="2"/>
    <n v="50"/>
    <n v="100"/>
    <x v="9"/>
    <x v="6"/>
  </r>
  <r>
    <d v="2023-01-05T00:00:00"/>
    <x v="391"/>
    <x v="0"/>
    <x v="14"/>
    <x v="0"/>
    <n v="2"/>
    <n v="25"/>
    <n v="50"/>
    <x v="2"/>
    <x v="6"/>
  </r>
  <r>
    <d v="2023-12-08T00:00:00"/>
    <x v="392"/>
    <x v="0"/>
    <x v="15"/>
    <x v="1"/>
    <n v="2"/>
    <n v="300"/>
    <n v="600"/>
    <x v="6"/>
    <x v="0"/>
  </r>
  <r>
    <d v="2023-10-11T00:00:00"/>
    <x v="393"/>
    <x v="1"/>
    <x v="11"/>
    <x v="0"/>
    <n v="2"/>
    <n v="500"/>
    <n v="1000"/>
    <x v="7"/>
    <x v="5"/>
  </r>
  <r>
    <d v="2023-06-03T00:00:00"/>
    <x v="394"/>
    <x v="1"/>
    <x v="15"/>
    <x v="1"/>
    <n v="1"/>
    <n v="500"/>
    <n v="500"/>
    <x v="10"/>
    <x v="3"/>
  </r>
  <r>
    <d v="2023-12-06T00:00:00"/>
    <x v="395"/>
    <x v="0"/>
    <x v="2"/>
    <x v="2"/>
    <n v="2"/>
    <n v="500"/>
    <n v="1000"/>
    <x v="6"/>
    <x v="5"/>
  </r>
  <r>
    <d v="2023-02-23T00:00:00"/>
    <x v="396"/>
    <x v="1"/>
    <x v="28"/>
    <x v="0"/>
    <n v="1"/>
    <n v="30"/>
    <n v="30"/>
    <x v="1"/>
    <x v="6"/>
  </r>
  <r>
    <d v="2023-03-10T00:00:00"/>
    <x v="397"/>
    <x v="1"/>
    <x v="4"/>
    <x v="0"/>
    <n v="1"/>
    <n v="25"/>
    <n v="25"/>
    <x v="5"/>
    <x v="0"/>
  </r>
  <r>
    <d v="2023-05-16T00:00:00"/>
    <x v="398"/>
    <x v="1"/>
    <x v="27"/>
    <x v="1"/>
    <n v="2"/>
    <n v="300"/>
    <n v="600"/>
    <x v="3"/>
    <x v="4"/>
  </r>
  <r>
    <d v="2023-03-01T00:00:00"/>
    <x v="399"/>
    <x v="1"/>
    <x v="12"/>
    <x v="0"/>
    <n v="2"/>
    <n v="30"/>
    <n v="60"/>
    <x v="5"/>
    <x v="5"/>
  </r>
  <r>
    <d v="2023-02-24T00:00:00"/>
    <x v="400"/>
    <x v="0"/>
    <x v="45"/>
    <x v="1"/>
    <n v="4"/>
    <n v="50"/>
    <n v="200"/>
    <x v="1"/>
    <x v="0"/>
  </r>
  <r>
    <d v="2023-10-11T00:00:00"/>
    <x v="401"/>
    <x v="1"/>
    <x v="17"/>
    <x v="1"/>
    <n v="1"/>
    <n v="300"/>
    <n v="300"/>
    <x v="7"/>
    <x v="5"/>
  </r>
  <r>
    <d v="2023-03-21T00:00:00"/>
    <x v="402"/>
    <x v="1"/>
    <x v="41"/>
    <x v="1"/>
    <n v="2"/>
    <n v="300"/>
    <n v="600"/>
    <x v="5"/>
    <x v="4"/>
  </r>
  <r>
    <d v="2023-05-20T00:00:00"/>
    <x v="403"/>
    <x v="0"/>
    <x v="40"/>
    <x v="1"/>
    <n v="2"/>
    <n v="300"/>
    <n v="600"/>
    <x v="3"/>
    <x v="3"/>
  </r>
  <r>
    <d v="2023-05-25T00:00:00"/>
    <x v="404"/>
    <x v="0"/>
    <x v="6"/>
    <x v="2"/>
    <n v="2"/>
    <n v="500"/>
    <n v="1000"/>
    <x v="3"/>
    <x v="6"/>
  </r>
  <r>
    <d v="2023-11-06T00:00:00"/>
    <x v="405"/>
    <x v="1"/>
    <x v="36"/>
    <x v="1"/>
    <n v="4"/>
    <n v="300"/>
    <n v="1200"/>
    <x v="0"/>
    <x v="1"/>
  </r>
  <r>
    <d v="2023-04-18T00:00:00"/>
    <x v="406"/>
    <x v="1"/>
    <x v="11"/>
    <x v="0"/>
    <n v="4"/>
    <n v="25"/>
    <n v="100"/>
    <x v="4"/>
    <x v="4"/>
  </r>
  <r>
    <d v="2023-06-25T00:00:00"/>
    <x v="407"/>
    <x v="1"/>
    <x v="6"/>
    <x v="2"/>
    <n v="3"/>
    <n v="300"/>
    <n v="900"/>
    <x v="10"/>
    <x v="2"/>
  </r>
  <r>
    <d v="2023-04-15T00:00:00"/>
    <x v="408"/>
    <x v="1"/>
    <x v="12"/>
    <x v="0"/>
    <n v="1"/>
    <n v="500"/>
    <n v="500"/>
    <x v="4"/>
    <x v="3"/>
  </r>
  <r>
    <d v="2023-12-18T00:00:00"/>
    <x v="409"/>
    <x v="1"/>
    <x v="34"/>
    <x v="2"/>
    <n v="3"/>
    <n v="300"/>
    <n v="900"/>
    <x v="6"/>
    <x v="1"/>
  </r>
  <r>
    <d v="2023-11-21T00:00:00"/>
    <x v="410"/>
    <x v="1"/>
    <x v="38"/>
    <x v="1"/>
    <n v="2"/>
    <n v="50"/>
    <n v="100"/>
    <x v="0"/>
    <x v="4"/>
  </r>
  <r>
    <d v="2023-05-16T00:00:00"/>
    <x v="411"/>
    <x v="0"/>
    <x v="17"/>
    <x v="2"/>
    <n v="4"/>
    <n v="50"/>
    <n v="200"/>
    <x v="3"/>
    <x v="4"/>
  </r>
  <r>
    <d v="2023-09-16T00:00:00"/>
    <x v="412"/>
    <x v="1"/>
    <x v="14"/>
    <x v="2"/>
    <n v="4"/>
    <n v="500"/>
    <n v="2000"/>
    <x v="9"/>
    <x v="3"/>
  </r>
  <r>
    <d v="2023-09-08T00:00:00"/>
    <x v="413"/>
    <x v="1"/>
    <x v="24"/>
    <x v="0"/>
    <n v="3"/>
    <n v="25"/>
    <n v="75"/>
    <x v="9"/>
    <x v="0"/>
  </r>
  <r>
    <d v="2023-05-09T00:00:00"/>
    <x v="414"/>
    <x v="0"/>
    <x v="27"/>
    <x v="0"/>
    <n v="4"/>
    <n v="25"/>
    <n v="100"/>
    <x v="3"/>
    <x v="4"/>
  </r>
  <r>
    <d v="2023-01-27T00:00:00"/>
    <x v="415"/>
    <x v="0"/>
    <x v="45"/>
    <x v="1"/>
    <n v="2"/>
    <n v="30"/>
    <n v="60"/>
    <x v="2"/>
    <x v="0"/>
  </r>
  <r>
    <d v="2023-02-17T00:00:00"/>
    <x v="416"/>
    <x v="0"/>
    <x v="45"/>
    <x v="2"/>
    <n v="4"/>
    <n v="500"/>
    <n v="2000"/>
    <x v="1"/>
    <x v="0"/>
  </r>
  <r>
    <d v="2023-11-21T00:00:00"/>
    <x v="417"/>
    <x v="0"/>
    <x v="22"/>
    <x v="2"/>
    <n v="3"/>
    <n v="300"/>
    <n v="900"/>
    <x v="0"/>
    <x v="4"/>
  </r>
  <r>
    <d v="2023-08-05T00:00:00"/>
    <x v="418"/>
    <x v="1"/>
    <x v="43"/>
    <x v="2"/>
    <n v="2"/>
    <n v="500"/>
    <n v="1000"/>
    <x v="8"/>
    <x v="3"/>
  </r>
  <r>
    <d v="2023-05-22T00:00:00"/>
    <x v="419"/>
    <x v="1"/>
    <x v="24"/>
    <x v="1"/>
    <n v="3"/>
    <n v="30"/>
    <n v="90"/>
    <x v="3"/>
    <x v="1"/>
  </r>
  <r>
    <d v="2023-01-23T00:00:00"/>
    <x v="420"/>
    <x v="1"/>
    <x v="11"/>
    <x v="1"/>
    <n v="4"/>
    <n v="500"/>
    <n v="2000"/>
    <x v="2"/>
    <x v="1"/>
  </r>
  <r>
    <d v="2023-01-02T00:00:00"/>
    <x v="421"/>
    <x v="1"/>
    <x v="3"/>
    <x v="1"/>
    <n v="3"/>
    <n v="500"/>
    <n v="1500"/>
    <x v="2"/>
    <x v="1"/>
  </r>
  <r>
    <d v="2023-06-20T00:00:00"/>
    <x v="422"/>
    <x v="1"/>
    <x v="20"/>
    <x v="1"/>
    <n v="3"/>
    <n v="30"/>
    <n v="90"/>
    <x v="10"/>
    <x v="4"/>
  </r>
  <r>
    <d v="2023-03-08T00:00:00"/>
    <x v="423"/>
    <x v="1"/>
    <x v="15"/>
    <x v="1"/>
    <n v="1"/>
    <n v="25"/>
    <n v="25"/>
    <x v="5"/>
    <x v="5"/>
  </r>
  <r>
    <d v="2023-11-23T00:00:00"/>
    <x v="424"/>
    <x v="0"/>
    <x v="35"/>
    <x v="0"/>
    <n v="4"/>
    <n v="300"/>
    <n v="1200"/>
    <x v="0"/>
    <x v="6"/>
  </r>
  <r>
    <d v="2023-05-15T00:00:00"/>
    <x v="425"/>
    <x v="1"/>
    <x v="28"/>
    <x v="2"/>
    <n v="4"/>
    <n v="30"/>
    <n v="120"/>
    <x v="3"/>
    <x v="1"/>
  </r>
  <r>
    <d v="2023-03-24T00:00:00"/>
    <x v="426"/>
    <x v="0"/>
    <x v="9"/>
    <x v="2"/>
    <n v="3"/>
    <n v="50"/>
    <n v="150"/>
    <x v="5"/>
    <x v="0"/>
  </r>
  <r>
    <d v="2023-08-15T00:00:00"/>
    <x v="427"/>
    <x v="0"/>
    <x v="36"/>
    <x v="2"/>
    <n v="1"/>
    <n v="25"/>
    <n v="25"/>
    <x v="8"/>
    <x v="4"/>
  </r>
  <r>
    <d v="2023-10-10T00:00:00"/>
    <x v="428"/>
    <x v="1"/>
    <x v="30"/>
    <x v="2"/>
    <n v="4"/>
    <n v="50"/>
    <n v="200"/>
    <x v="7"/>
    <x v="4"/>
  </r>
  <r>
    <d v="2023-12-28T00:00:00"/>
    <x v="429"/>
    <x v="0"/>
    <x v="12"/>
    <x v="2"/>
    <n v="2"/>
    <n v="25"/>
    <n v="50"/>
    <x v="6"/>
    <x v="6"/>
  </r>
  <r>
    <d v="2023-08-07T00:00:00"/>
    <x v="430"/>
    <x v="1"/>
    <x v="22"/>
    <x v="2"/>
    <n v="3"/>
    <n v="300"/>
    <n v="900"/>
    <x v="8"/>
    <x v="1"/>
  </r>
  <r>
    <d v="2023-10-15T00:00:00"/>
    <x v="431"/>
    <x v="0"/>
    <x v="7"/>
    <x v="2"/>
    <n v="4"/>
    <n v="300"/>
    <n v="1200"/>
    <x v="7"/>
    <x v="2"/>
  </r>
  <r>
    <d v="2023-01-05T00:00:00"/>
    <x v="432"/>
    <x v="1"/>
    <x v="43"/>
    <x v="2"/>
    <n v="2"/>
    <n v="500"/>
    <n v="1000"/>
    <x v="2"/>
    <x v="6"/>
  </r>
  <r>
    <d v="2023-02-27T00:00:00"/>
    <x v="433"/>
    <x v="0"/>
    <x v="38"/>
    <x v="0"/>
    <n v="4"/>
    <n v="50"/>
    <n v="200"/>
    <x v="1"/>
    <x v="1"/>
  </r>
  <r>
    <d v="2023-02-08T00:00:00"/>
    <x v="434"/>
    <x v="1"/>
    <x v="22"/>
    <x v="2"/>
    <n v="2"/>
    <n v="25"/>
    <n v="50"/>
    <x v="1"/>
    <x v="5"/>
  </r>
  <r>
    <d v="2023-12-20T00:00:00"/>
    <x v="435"/>
    <x v="1"/>
    <x v="4"/>
    <x v="0"/>
    <n v="3"/>
    <n v="300"/>
    <n v="900"/>
    <x v="6"/>
    <x v="5"/>
  </r>
  <r>
    <d v="2023-03-18T00:00:00"/>
    <x v="436"/>
    <x v="1"/>
    <x v="35"/>
    <x v="1"/>
    <n v="4"/>
    <n v="30"/>
    <n v="120"/>
    <x v="5"/>
    <x v="3"/>
  </r>
  <r>
    <d v="2023-10-07T00:00:00"/>
    <x v="437"/>
    <x v="1"/>
    <x v="10"/>
    <x v="2"/>
    <n v="4"/>
    <n v="300"/>
    <n v="1200"/>
    <x v="7"/>
    <x v="3"/>
  </r>
  <r>
    <d v="2023-01-19T00:00:00"/>
    <x v="438"/>
    <x v="1"/>
    <x v="13"/>
    <x v="1"/>
    <n v="1"/>
    <n v="30"/>
    <n v="30"/>
    <x v="2"/>
    <x v="6"/>
  </r>
  <r>
    <d v="2023-07-09T00:00:00"/>
    <x v="439"/>
    <x v="0"/>
    <x v="2"/>
    <x v="1"/>
    <n v="3"/>
    <n v="25"/>
    <n v="75"/>
    <x v="11"/>
    <x v="2"/>
  </r>
  <r>
    <d v="2023-10-26T00:00:00"/>
    <x v="440"/>
    <x v="0"/>
    <x v="12"/>
    <x v="1"/>
    <n v="2"/>
    <n v="300"/>
    <n v="600"/>
    <x v="7"/>
    <x v="6"/>
  </r>
  <r>
    <d v="2023-10-10T00:00:00"/>
    <x v="441"/>
    <x v="0"/>
    <x v="35"/>
    <x v="0"/>
    <n v="4"/>
    <n v="300"/>
    <n v="1200"/>
    <x v="7"/>
    <x v="4"/>
  </r>
  <r>
    <d v="2023-03-17T00:00:00"/>
    <x v="442"/>
    <x v="1"/>
    <x v="43"/>
    <x v="1"/>
    <n v="4"/>
    <n v="25"/>
    <n v="100"/>
    <x v="5"/>
    <x v="0"/>
  </r>
  <r>
    <d v="2023-08-09T00:00:00"/>
    <x v="443"/>
    <x v="0"/>
    <x v="38"/>
    <x v="1"/>
    <n v="2"/>
    <n v="300"/>
    <n v="600"/>
    <x v="8"/>
    <x v="5"/>
  </r>
  <r>
    <d v="2023-03-07T00:00:00"/>
    <x v="444"/>
    <x v="1"/>
    <x v="39"/>
    <x v="1"/>
    <n v="3"/>
    <n v="30"/>
    <n v="90"/>
    <x v="5"/>
    <x v="4"/>
  </r>
  <r>
    <d v="2023-01-22T00:00:00"/>
    <x v="445"/>
    <x v="1"/>
    <x v="45"/>
    <x v="2"/>
    <n v="1"/>
    <n v="300"/>
    <n v="300"/>
    <x v="2"/>
    <x v="2"/>
  </r>
  <r>
    <d v="2023-06-07T00:00:00"/>
    <x v="446"/>
    <x v="0"/>
    <x v="34"/>
    <x v="2"/>
    <n v="1"/>
    <n v="50"/>
    <n v="50"/>
    <x v="10"/>
    <x v="5"/>
  </r>
  <r>
    <d v="2023-07-06T00:00:00"/>
    <x v="447"/>
    <x v="0"/>
    <x v="11"/>
    <x v="0"/>
    <n v="4"/>
    <n v="500"/>
    <n v="2000"/>
    <x v="11"/>
    <x v="6"/>
  </r>
  <r>
    <d v="2023-01-21T00:00:00"/>
    <x v="448"/>
    <x v="1"/>
    <x v="31"/>
    <x v="0"/>
    <n v="2"/>
    <n v="30"/>
    <n v="60"/>
    <x v="2"/>
    <x v="3"/>
  </r>
  <r>
    <d v="2023-07-03T00:00:00"/>
    <x v="449"/>
    <x v="0"/>
    <x v="36"/>
    <x v="2"/>
    <n v="4"/>
    <n v="50"/>
    <n v="200"/>
    <x v="11"/>
    <x v="1"/>
  </r>
  <r>
    <d v="2023-04-18T00:00:00"/>
    <x v="450"/>
    <x v="1"/>
    <x v="42"/>
    <x v="0"/>
    <n v="2"/>
    <n v="25"/>
    <n v="50"/>
    <x v="4"/>
    <x v="4"/>
  </r>
  <r>
    <d v="2023-12-16T00:00:00"/>
    <x v="451"/>
    <x v="1"/>
    <x v="5"/>
    <x v="2"/>
    <n v="1"/>
    <n v="30"/>
    <n v="30"/>
    <x v="6"/>
    <x v="3"/>
  </r>
  <r>
    <d v="2023-05-08T00:00:00"/>
    <x v="452"/>
    <x v="1"/>
    <x v="27"/>
    <x v="1"/>
    <n v="3"/>
    <n v="500"/>
    <n v="1500"/>
    <x v="3"/>
    <x v="1"/>
  </r>
  <r>
    <d v="2023-12-08T00:00:00"/>
    <x v="453"/>
    <x v="1"/>
    <x v="1"/>
    <x v="1"/>
    <n v="2"/>
    <n v="500"/>
    <n v="1000"/>
    <x v="6"/>
    <x v="0"/>
  </r>
  <r>
    <d v="2023-02-22T00:00:00"/>
    <x v="454"/>
    <x v="1"/>
    <x v="6"/>
    <x v="0"/>
    <n v="1"/>
    <n v="25"/>
    <n v="25"/>
    <x v="1"/>
    <x v="5"/>
  </r>
  <r>
    <d v="2023-07-01T00:00:00"/>
    <x v="455"/>
    <x v="0"/>
    <x v="33"/>
    <x v="2"/>
    <n v="4"/>
    <n v="25"/>
    <n v="100"/>
    <x v="11"/>
    <x v="3"/>
  </r>
  <r>
    <d v="2023-10-14T00:00:00"/>
    <x v="456"/>
    <x v="0"/>
    <x v="35"/>
    <x v="2"/>
    <n v="2"/>
    <n v="30"/>
    <n v="60"/>
    <x v="7"/>
    <x v="3"/>
  </r>
  <r>
    <d v="2023-07-28T00:00:00"/>
    <x v="457"/>
    <x v="1"/>
    <x v="26"/>
    <x v="0"/>
    <n v="3"/>
    <n v="300"/>
    <n v="900"/>
    <x v="11"/>
    <x v="0"/>
  </r>
  <r>
    <d v="2023-11-14T00:00:00"/>
    <x v="458"/>
    <x v="1"/>
    <x v="23"/>
    <x v="2"/>
    <n v="4"/>
    <n v="25"/>
    <n v="100"/>
    <x v="0"/>
    <x v="4"/>
  </r>
  <r>
    <d v="2023-03-21T00:00:00"/>
    <x v="459"/>
    <x v="0"/>
    <x v="20"/>
    <x v="1"/>
    <n v="4"/>
    <n v="300"/>
    <n v="1200"/>
    <x v="5"/>
    <x v="4"/>
  </r>
  <r>
    <d v="2023-05-02T00:00:00"/>
    <x v="460"/>
    <x v="0"/>
    <x v="30"/>
    <x v="0"/>
    <n v="1"/>
    <n v="50"/>
    <n v="50"/>
    <x v="3"/>
    <x v="4"/>
  </r>
  <r>
    <d v="2023-03-25T00:00:00"/>
    <x v="461"/>
    <x v="1"/>
    <x v="18"/>
    <x v="0"/>
    <n v="2"/>
    <n v="500"/>
    <n v="1000"/>
    <x v="5"/>
    <x v="3"/>
  </r>
  <r>
    <d v="2023-04-01T00:00:00"/>
    <x v="462"/>
    <x v="0"/>
    <x v="7"/>
    <x v="2"/>
    <n v="4"/>
    <n v="300"/>
    <n v="1200"/>
    <x v="4"/>
    <x v="3"/>
  </r>
  <r>
    <d v="2023-07-31T00:00:00"/>
    <x v="463"/>
    <x v="1"/>
    <x v="31"/>
    <x v="0"/>
    <n v="3"/>
    <n v="500"/>
    <n v="1500"/>
    <x v="11"/>
    <x v="1"/>
  </r>
  <r>
    <d v="2023-01-13T00:00:00"/>
    <x v="464"/>
    <x v="0"/>
    <x v="21"/>
    <x v="2"/>
    <n v="2"/>
    <n v="300"/>
    <n v="600"/>
    <x v="2"/>
    <x v="0"/>
  </r>
  <r>
    <d v="2023-04-02T00:00:00"/>
    <x v="465"/>
    <x v="1"/>
    <x v="22"/>
    <x v="2"/>
    <n v="3"/>
    <n v="50"/>
    <n v="150"/>
    <x v="4"/>
    <x v="2"/>
  </r>
  <r>
    <d v="2023-06-20T00:00:00"/>
    <x v="466"/>
    <x v="0"/>
    <x v="7"/>
    <x v="2"/>
    <n v="4"/>
    <n v="25"/>
    <n v="100"/>
    <x v="10"/>
    <x v="4"/>
  </r>
  <r>
    <d v="2023-07-30T00:00:00"/>
    <x v="467"/>
    <x v="1"/>
    <x v="45"/>
    <x v="2"/>
    <n v="3"/>
    <n v="50"/>
    <n v="150"/>
    <x v="11"/>
    <x v="2"/>
  </r>
  <r>
    <d v="2023-12-09T00:00:00"/>
    <x v="468"/>
    <x v="0"/>
    <x v="30"/>
    <x v="2"/>
    <n v="1"/>
    <n v="25"/>
    <n v="25"/>
    <x v="6"/>
    <x v="3"/>
  </r>
  <r>
    <d v="2023-05-08T00:00:00"/>
    <x v="469"/>
    <x v="0"/>
    <x v="18"/>
    <x v="0"/>
    <n v="3"/>
    <n v="25"/>
    <n v="75"/>
    <x v="3"/>
    <x v="1"/>
  </r>
  <r>
    <d v="2023-05-17T00:00:00"/>
    <x v="470"/>
    <x v="1"/>
    <x v="35"/>
    <x v="1"/>
    <n v="2"/>
    <n v="500"/>
    <n v="1000"/>
    <x v="3"/>
    <x v="5"/>
  </r>
  <r>
    <d v="2023-03-23T00:00:00"/>
    <x v="471"/>
    <x v="0"/>
    <x v="40"/>
    <x v="1"/>
    <n v="3"/>
    <n v="50"/>
    <n v="150"/>
    <x v="5"/>
    <x v="6"/>
  </r>
  <r>
    <d v="2023-12-26T00:00:00"/>
    <x v="472"/>
    <x v="1"/>
    <x v="21"/>
    <x v="0"/>
    <n v="3"/>
    <n v="300"/>
    <n v="900"/>
    <x v="6"/>
    <x v="4"/>
  </r>
  <r>
    <d v="2023-02-25T00:00:00"/>
    <x v="473"/>
    <x v="0"/>
    <x v="12"/>
    <x v="0"/>
    <n v="1"/>
    <n v="50"/>
    <n v="50"/>
    <x v="1"/>
    <x v="3"/>
  </r>
  <r>
    <d v="2023-07-15T00:00:00"/>
    <x v="474"/>
    <x v="1"/>
    <x v="1"/>
    <x v="1"/>
    <n v="3"/>
    <n v="500"/>
    <n v="1500"/>
    <x v="11"/>
    <x v="3"/>
  </r>
  <r>
    <d v="2023-01-20T00:00:00"/>
    <x v="475"/>
    <x v="0"/>
    <x v="1"/>
    <x v="1"/>
    <n v="3"/>
    <n v="25"/>
    <n v="75"/>
    <x v="2"/>
    <x v="0"/>
  </r>
  <r>
    <d v="2023-08-29T00:00:00"/>
    <x v="476"/>
    <x v="1"/>
    <x v="15"/>
    <x v="1"/>
    <n v="4"/>
    <n v="500"/>
    <n v="2000"/>
    <x v="8"/>
    <x v="4"/>
  </r>
  <r>
    <d v="2023-04-24T00:00:00"/>
    <x v="477"/>
    <x v="0"/>
    <x v="22"/>
    <x v="1"/>
    <n v="4"/>
    <n v="30"/>
    <n v="120"/>
    <x v="4"/>
    <x v="1"/>
  </r>
  <r>
    <d v="2023-04-13T00:00:00"/>
    <x v="478"/>
    <x v="1"/>
    <x v="26"/>
    <x v="1"/>
    <n v="2"/>
    <n v="30"/>
    <n v="60"/>
    <x v="4"/>
    <x v="6"/>
  </r>
  <r>
    <d v="2023-08-24T00:00:00"/>
    <x v="479"/>
    <x v="0"/>
    <x v="8"/>
    <x v="2"/>
    <n v="4"/>
    <n v="300"/>
    <n v="1200"/>
    <x v="8"/>
    <x v="6"/>
  </r>
  <r>
    <d v="2023-06-29T00:00:00"/>
    <x v="480"/>
    <x v="1"/>
    <x v="13"/>
    <x v="0"/>
    <n v="4"/>
    <n v="500"/>
    <n v="2000"/>
    <x v="10"/>
    <x v="6"/>
  </r>
  <r>
    <d v="2023-06-06T00:00:00"/>
    <x v="481"/>
    <x v="1"/>
    <x v="22"/>
    <x v="2"/>
    <n v="4"/>
    <n v="300"/>
    <n v="1200"/>
    <x v="10"/>
    <x v="4"/>
  </r>
  <r>
    <d v="2023-04-27T00:00:00"/>
    <x v="482"/>
    <x v="1"/>
    <x v="20"/>
    <x v="1"/>
    <n v="4"/>
    <n v="300"/>
    <n v="1200"/>
    <x v="4"/>
    <x v="6"/>
  </r>
  <r>
    <d v="2023-04-25T00:00:00"/>
    <x v="483"/>
    <x v="0"/>
    <x v="28"/>
    <x v="1"/>
    <n v="1"/>
    <n v="30"/>
    <n v="30"/>
    <x v="4"/>
    <x v="4"/>
  </r>
  <r>
    <d v="2023-01-13T00:00:00"/>
    <x v="484"/>
    <x v="1"/>
    <x v="14"/>
    <x v="1"/>
    <n v="4"/>
    <n v="300"/>
    <n v="1200"/>
    <x v="2"/>
    <x v="0"/>
  </r>
  <r>
    <d v="2023-12-04T00:00:00"/>
    <x v="485"/>
    <x v="0"/>
    <x v="46"/>
    <x v="2"/>
    <n v="1"/>
    <n v="30"/>
    <n v="30"/>
    <x v="6"/>
    <x v="1"/>
  </r>
  <r>
    <d v="2023-04-09T00:00:00"/>
    <x v="486"/>
    <x v="1"/>
    <x v="10"/>
    <x v="2"/>
    <n v="1"/>
    <n v="25"/>
    <n v="25"/>
    <x v="4"/>
    <x v="2"/>
  </r>
  <r>
    <d v="2023-07-24T00:00:00"/>
    <x v="487"/>
    <x v="0"/>
    <x v="24"/>
    <x v="1"/>
    <n v="4"/>
    <n v="500"/>
    <n v="2000"/>
    <x v="11"/>
    <x v="1"/>
  </r>
  <r>
    <d v="2023-06-18T00:00:00"/>
    <x v="488"/>
    <x v="1"/>
    <x v="25"/>
    <x v="2"/>
    <n v="3"/>
    <n v="300"/>
    <n v="900"/>
    <x v="10"/>
    <x v="2"/>
  </r>
  <r>
    <d v="2023-05-23T00:00:00"/>
    <x v="489"/>
    <x v="0"/>
    <x v="24"/>
    <x v="2"/>
    <n v="1"/>
    <n v="30"/>
    <n v="30"/>
    <x v="3"/>
    <x v="4"/>
  </r>
  <r>
    <d v="2023-02-05T00:00:00"/>
    <x v="490"/>
    <x v="0"/>
    <x v="0"/>
    <x v="1"/>
    <n v="3"/>
    <n v="50"/>
    <n v="150"/>
    <x v="1"/>
    <x v="2"/>
  </r>
  <r>
    <d v="2023-05-23T00:00:00"/>
    <x v="491"/>
    <x v="1"/>
    <x v="43"/>
    <x v="2"/>
    <n v="3"/>
    <n v="300"/>
    <n v="900"/>
    <x v="3"/>
    <x v="4"/>
  </r>
  <r>
    <d v="2023-06-29T00:00:00"/>
    <x v="492"/>
    <x v="0"/>
    <x v="39"/>
    <x v="0"/>
    <n v="4"/>
    <n v="25"/>
    <n v="100"/>
    <x v="10"/>
    <x v="6"/>
  </r>
  <r>
    <d v="2023-11-25T00:00:00"/>
    <x v="493"/>
    <x v="0"/>
    <x v="41"/>
    <x v="0"/>
    <n v="2"/>
    <n v="25"/>
    <n v="50"/>
    <x v="0"/>
    <x v="3"/>
  </r>
  <r>
    <d v="2023-09-18T00:00:00"/>
    <x v="494"/>
    <x v="1"/>
    <x v="13"/>
    <x v="0"/>
    <n v="4"/>
    <n v="50"/>
    <n v="200"/>
    <x v="9"/>
    <x v="1"/>
  </r>
  <r>
    <d v="2023-07-24T00:00:00"/>
    <x v="495"/>
    <x v="0"/>
    <x v="46"/>
    <x v="0"/>
    <n v="2"/>
    <n v="30"/>
    <n v="60"/>
    <x v="11"/>
    <x v="1"/>
  </r>
  <r>
    <d v="2023-12-14T00:00:00"/>
    <x v="496"/>
    <x v="0"/>
    <x v="9"/>
    <x v="1"/>
    <n v="2"/>
    <n v="300"/>
    <n v="600"/>
    <x v="6"/>
    <x v="6"/>
  </r>
  <r>
    <d v="2023-10-02T00:00:00"/>
    <x v="497"/>
    <x v="0"/>
    <x v="41"/>
    <x v="1"/>
    <n v="4"/>
    <n v="30"/>
    <n v="120"/>
    <x v="7"/>
    <x v="1"/>
  </r>
  <r>
    <d v="2023-06-19T00:00:00"/>
    <x v="498"/>
    <x v="1"/>
    <x v="2"/>
    <x v="1"/>
    <n v="4"/>
    <n v="25"/>
    <n v="100"/>
    <x v="10"/>
    <x v="1"/>
  </r>
  <r>
    <d v="2023-01-15T00:00:00"/>
    <x v="499"/>
    <x v="0"/>
    <x v="6"/>
    <x v="0"/>
    <n v="2"/>
    <n v="30"/>
    <n v="60"/>
    <x v="2"/>
    <x v="2"/>
  </r>
  <r>
    <d v="2023-03-01T00:00:00"/>
    <x v="500"/>
    <x v="1"/>
    <x v="43"/>
    <x v="0"/>
    <n v="4"/>
    <n v="25"/>
    <n v="100"/>
    <x v="5"/>
    <x v="5"/>
  </r>
  <r>
    <d v="2023-05-14T00:00:00"/>
    <x v="501"/>
    <x v="0"/>
    <x v="23"/>
    <x v="2"/>
    <n v="2"/>
    <n v="30"/>
    <n v="60"/>
    <x v="3"/>
    <x v="2"/>
  </r>
  <r>
    <d v="2023-04-02T00:00:00"/>
    <x v="502"/>
    <x v="0"/>
    <x v="22"/>
    <x v="2"/>
    <n v="3"/>
    <n v="50"/>
    <n v="150"/>
    <x v="4"/>
    <x v="2"/>
  </r>
  <r>
    <d v="2023-10-25T00:00:00"/>
    <x v="503"/>
    <x v="0"/>
    <x v="5"/>
    <x v="0"/>
    <n v="4"/>
    <n v="500"/>
    <n v="2000"/>
    <x v="7"/>
    <x v="5"/>
  </r>
  <r>
    <d v="2023-05-16T00:00:00"/>
    <x v="504"/>
    <x v="1"/>
    <x v="21"/>
    <x v="0"/>
    <n v="3"/>
    <n v="50"/>
    <n v="150"/>
    <x v="3"/>
    <x v="4"/>
  </r>
  <r>
    <d v="2023-01-20T00:00:00"/>
    <x v="505"/>
    <x v="0"/>
    <x v="46"/>
    <x v="0"/>
    <n v="1"/>
    <n v="50"/>
    <n v="50"/>
    <x v="2"/>
    <x v="0"/>
  </r>
  <r>
    <d v="2023-02-25T00:00:00"/>
    <x v="506"/>
    <x v="0"/>
    <x v="0"/>
    <x v="0"/>
    <n v="3"/>
    <n v="500"/>
    <n v="1500"/>
    <x v="1"/>
    <x v="3"/>
  </r>
  <r>
    <d v="2023-11-02T00:00:00"/>
    <x v="507"/>
    <x v="1"/>
    <x v="3"/>
    <x v="2"/>
    <n v="3"/>
    <n v="500"/>
    <n v="1500"/>
    <x v="0"/>
    <x v="6"/>
  </r>
  <r>
    <d v="2023-08-11T00:00:00"/>
    <x v="508"/>
    <x v="0"/>
    <x v="26"/>
    <x v="0"/>
    <n v="2"/>
    <n v="300"/>
    <n v="600"/>
    <x v="8"/>
    <x v="0"/>
  </r>
  <r>
    <d v="2023-06-26T00:00:00"/>
    <x v="509"/>
    <x v="1"/>
    <x v="3"/>
    <x v="2"/>
    <n v="3"/>
    <n v="300"/>
    <n v="900"/>
    <x v="10"/>
    <x v="1"/>
  </r>
  <r>
    <d v="2023-06-10T00:00:00"/>
    <x v="510"/>
    <x v="1"/>
    <x v="23"/>
    <x v="0"/>
    <n v="4"/>
    <n v="50"/>
    <n v="200"/>
    <x v="10"/>
    <x v="3"/>
  </r>
  <r>
    <d v="2023-08-12T00:00:00"/>
    <x v="511"/>
    <x v="0"/>
    <x v="5"/>
    <x v="0"/>
    <n v="2"/>
    <n v="50"/>
    <n v="100"/>
    <x v="8"/>
    <x v="3"/>
  </r>
  <r>
    <d v="2023-11-07T00:00:00"/>
    <x v="512"/>
    <x v="1"/>
    <x v="35"/>
    <x v="0"/>
    <n v="1"/>
    <n v="25"/>
    <n v="25"/>
    <x v="0"/>
    <x v="4"/>
  </r>
  <r>
    <d v="2023-09-19T00:00:00"/>
    <x v="513"/>
    <x v="0"/>
    <x v="46"/>
    <x v="2"/>
    <n v="4"/>
    <n v="25"/>
    <n v="100"/>
    <x v="9"/>
    <x v="4"/>
  </r>
  <r>
    <d v="2023-03-01T00:00:00"/>
    <x v="514"/>
    <x v="1"/>
    <x v="18"/>
    <x v="2"/>
    <n v="1"/>
    <n v="300"/>
    <n v="300"/>
    <x v="5"/>
    <x v="5"/>
  </r>
  <r>
    <d v="2023-07-17T00:00:00"/>
    <x v="515"/>
    <x v="1"/>
    <x v="19"/>
    <x v="1"/>
    <n v="3"/>
    <n v="300"/>
    <n v="900"/>
    <x v="11"/>
    <x v="1"/>
  </r>
  <r>
    <d v="2023-10-23T00:00:00"/>
    <x v="516"/>
    <x v="0"/>
    <x v="4"/>
    <x v="0"/>
    <n v="4"/>
    <n v="25"/>
    <n v="100"/>
    <x v="7"/>
    <x v="1"/>
  </r>
  <r>
    <d v="2023-04-08T00:00:00"/>
    <x v="517"/>
    <x v="1"/>
    <x v="16"/>
    <x v="1"/>
    <n v="4"/>
    <n v="25"/>
    <n v="100"/>
    <x v="4"/>
    <x v="3"/>
  </r>
  <r>
    <d v="2023-05-11T00:00:00"/>
    <x v="518"/>
    <x v="1"/>
    <x v="30"/>
    <x v="1"/>
    <n v="1"/>
    <n v="30"/>
    <n v="30"/>
    <x v="3"/>
    <x v="6"/>
  </r>
  <r>
    <d v="2023-01-23T00:00:00"/>
    <x v="519"/>
    <x v="1"/>
    <x v="32"/>
    <x v="2"/>
    <n v="4"/>
    <n v="30"/>
    <n v="120"/>
    <x v="2"/>
    <x v="1"/>
  </r>
  <r>
    <d v="2023-12-29T00:00:00"/>
    <x v="520"/>
    <x v="1"/>
    <x v="19"/>
    <x v="2"/>
    <n v="4"/>
    <n v="25"/>
    <n v="100"/>
    <x v="6"/>
    <x v="0"/>
  </r>
  <r>
    <d v="2023-08-12T00:00:00"/>
    <x v="521"/>
    <x v="1"/>
    <x v="16"/>
    <x v="1"/>
    <n v="4"/>
    <n v="30"/>
    <n v="120"/>
    <x v="8"/>
    <x v="3"/>
  </r>
  <r>
    <d v="2023-01-01T00:00:00"/>
    <x v="522"/>
    <x v="0"/>
    <x v="6"/>
    <x v="0"/>
    <n v="3"/>
    <n v="500"/>
    <n v="1500"/>
    <x v="2"/>
    <x v="2"/>
  </r>
  <r>
    <d v="2023-09-24T00:00:00"/>
    <x v="523"/>
    <x v="1"/>
    <x v="17"/>
    <x v="2"/>
    <n v="1"/>
    <n v="300"/>
    <n v="300"/>
    <x v="9"/>
    <x v="2"/>
  </r>
  <r>
    <d v="2023-10-03T00:00:00"/>
    <x v="524"/>
    <x v="0"/>
    <x v="6"/>
    <x v="0"/>
    <n v="4"/>
    <n v="300"/>
    <n v="1200"/>
    <x v="7"/>
    <x v="4"/>
  </r>
  <r>
    <d v="2023-12-18T00:00:00"/>
    <x v="525"/>
    <x v="1"/>
    <x v="16"/>
    <x v="0"/>
    <n v="2"/>
    <n v="25"/>
    <n v="50"/>
    <x v="6"/>
    <x v="1"/>
  </r>
  <r>
    <d v="2023-12-10T00:00:00"/>
    <x v="526"/>
    <x v="0"/>
    <x v="44"/>
    <x v="1"/>
    <n v="2"/>
    <n v="50"/>
    <n v="100"/>
    <x v="6"/>
    <x v="2"/>
  </r>
  <r>
    <d v="2023-04-11T00:00:00"/>
    <x v="527"/>
    <x v="0"/>
    <x v="35"/>
    <x v="1"/>
    <n v="2"/>
    <n v="25"/>
    <n v="50"/>
    <x v="4"/>
    <x v="4"/>
  </r>
  <r>
    <d v="2023-07-06T00:00:00"/>
    <x v="528"/>
    <x v="1"/>
    <x v="32"/>
    <x v="1"/>
    <n v="2"/>
    <n v="30"/>
    <n v="60"/>
    <x v="11"/>
    <x v="6"/>
  </r>
  <r>
    <d v="2023-08-09T00:00:00"/>
    <x v="529"/>
    <x v="1"/>
    <x v="10"/>
    <x v="1"/>
    <n v="3"/>
    <n v="50"/>
    <n v="150"/>
    <x v="8"/>
    <x v="5"/>
  </r>
  <r>
    <d v="2023-02-05T00:00:00"/>
    <x v="530"/>
    <x v="1"/>
    <x v="18"/>
    <x v="2"/>
    <n v="4"/>
    <n v="30"/>
    <n v="120"/>
    <x v="1"/>
    <x v="2"/>
  </r>
  <r>
    <d v="2023-12-07T00:00:00"/>
    <x v="531"/>
    <x v="0"/>
    <x v="33"/>
    <x v="2"/>
    <n v="1"/>
    <n v="500"/>
    <n v="500"/>
    <x v="6"/>
    <x v="6"/>
  </r>
  <r>
    <d v="2023-06-19T00:00:00"/>
    <x v="532"/>
    <x v="1"/>
    <x v="12"/>
    <x v="1"/>
    <n v="4"/>
    <n v="30"/>
    <n v="120"/>
    <x v="10"/>
    <x v="1"/>
  </r>
  <r>
    <d v="2023-11-16T00:00:00"/>
    <x v="533"/>
    <x v="0"/>
    <x v="14"/>
    <x v="2"/>
    <n v="3"/>
    <n v="500"/>
    <n v="1500"/>
    <x v="0"/>
    <x v="6"/>
  </r>
  <r>
    <d v="2023-06-10T00:00:00"/>
    <x v="534"/>
    <x v="0"/>
    <x v="5"/>
    <x v="1"/>
    <n v="2"/>
    <n v="500"/>
    <n v="1000"/>
    <x v="10"/>
    <x v="3"/>
  </r>
  <r>
    <d v="2023-12-06T00:00:00"/>
    <x v="535"/>
    <x v="0"/>
    <x v="16"/>
    <x v="0"/>
    <n v="3"/>
    <n v="30"/>
    <n v="90"/>
    <x v="6"/>
    <x v="5"/>
  </r>
  <r>
    <d v="2023-03-05T00:00:00"/>
    <x v="536"/>
    <x v="1"/>
    <x v="28"/>
    <x v="0"/>
    <n v="4"/>
    <n v="30"/>
    <n v="120"/>
    <x v="5"/>
    <x v="2"/>
  </r>
  <r>
    <d v="2023-06-03T00:00:00"/>
    <x v="537"/>
    <x v="1"/>
    <x v="34"/>
    <x v="0"/>
    <n v="1"/>
    <n v="500"/>
    <n v="500"/>
    <x v="10"/>
    <x v="3"/>
  </r>
  <r>
    <d v="2023-09-17T00:00:00"/>
    <x v="538"/>
    <x v="0"/>
    <x v="18"/>
    <x v="1"/>
    <n v="3"/>
    <n v="50"/>
    <n v="150"/>
    <x v="9"/>
    <x v="2"/>
  </r>
  <r>
    <d v="2023-06-08T00:00:00"/>
    <x v="539"/>
    <x v="0"/>
    <x v="36"/>
    <x v="0"/>
    <n v="1"/>
    <n v="500"/>
    <n v="500"/>
    <x v="10"/>
    <x v="6"/>
  </r>
  <r>
    <d v="2023-12-08T00:00:00"/>
    <x v="540"/>
    <x v="1"/>
    <x v="6"/>
    <x v="2"/>
    <n v="3"/>
    <n v="300"/>
    <n v="900"/>
    <x v="6"/>
    <x v="0"/>
  </r>
  <r>
    <d v="2023-07-29T00:00:00"/>
    <x v="541"/>
    <x v="0"/>
    <x v="37"/>
    <x v="0"/>
    <n v="1"/>
    <n v="500"/>
    <n v="500"/>
    <x v="11"/>
    <x v="3"/>
  </r>
  <r>
    <d v="2023-06-17T00:00:00"/>
    <x v="542"/>
    <x v="1"/>
    <x v="29"/>
    <x v="0"/>
    <n v="1"/>
    <n v="50"/>
    <n v="50"/>
    <x v="10"/>
    <x v="3"/>
  </r>
  <r>
    <d v="2023-07-26T00:00:00"/>
    <x v="543"/>
    <x v="0"/>
    <x v="19"/>
    <x v="0"/>
    <n v="2"/>
    <n v="300"/>
    <n v="600"/>
    <x v="11"/>
    <x v="5"/>
  </r>
  <r>
    <d v="2023-12-23T00:00:00"/>
    <x v="544"/>
    <x v="1"/>
    <x v="15"/>
    <x v="2"/>
    <n v="1"/>
    <n v="25"/>
    <n v="25"/>
    <x v="6"/>
    <x v="3"/>
  </r>
  <r>
    <d v="2023-06-01T00:00:00"/>
    <x v="545"/>
    <x v="0"/>
    <x v="15"/>
    <x v="1"/>
    <n v="2"/>
    <n v="25"/>
    <n v="50"/>
    <x v="10"/>
    <x v="6"/>
  </r>
  <r>
    <d v="2023-10-11T00:00:00"/>
    <x v="546"/>
    <x v="1"/>
    <x v="32"/>
    <x v="2"/>
    <n v="4"/>
    <n v="50"/>
    <n v="200"/>
    <x v="7"/>
    <x v="5"/>
  </r>
  <r>
    <d v="2023-03-07T00:00:00"/>
    <x v="547"/>
    <x v="0"/>
    <x v="7"/>
    <x v="1"/>
    <n v="4"/>
    <n v="500"/>
    <n v="2000"/>
    <x v="5"/>
    <x v="4"/>
  </r>
  <r>
    <d v="2023-04-09T00:00:00"/>
    <x v="548"/>
    <x v="1"/>
    <x v="25"/>
    <x v="1"/>
    <n v="2"/>
    <n v="30"/>
    <n v="60"/>
    <x v="4"/>
    <x v="2"/>
  </r>
  <r>
    <d v="2023-08-04T00:00:00"/>
    <x v="549"/>
    <x v="1"/>
    <x v="2"/>
    <x v="0"/>
    <n v="2"/>
    <n v="50"/>
    <n v="100"/>
    <x v="8"/>
    <x v="0"/>
  </r>
  <r>
    <d v="2023-12-07T00:00:00"/>
    <x v="550"/>
    <x v="0"/>
    <x v="30"/>
    <x v="1"/>
    <n v="3"/>
    <n v="300"/>
    <n v="900"/>
    <x v="6"/>
    <x v="6"/>
  </r>
  <r>
    <d v="2023-07-14T00:00:00"/>
    <x v="551"/>
    <x v="0"/>
    <x v="5"/>
    <x v="2"/>
    <n v="3"/>
    <n v="300"/>
    <n v="900"/>
    <x v="11"/>
    <x v="0"/>
  </r>
  <r>
    <d v="2023-12-13T00:00:00"/>
    <x v="552"/>
    <x v="1"/>
    <x v="19"/>
    <x v="2"/>
    <n v="3"/>
    <n v="25"/>
    <n v="75"/>
    <x v="6"/>
    <x v="5"/>
  </r>
  <r>
    <d v="2023-03-31T00:00:00"/>
    <x v="553"/>
    <x v="0"/>
    <x v="46"/>
    <x v="1"/>
    <n v="4"/>
    <n v="300"/>
    <n v="1200"/>
    <x v="5"/>
    <x v="0"/>
  </r>
  <r>
    <d v="2023-11-12T00:00:00"/>
    <x v="554"/>
    <x v="1"/>
    <x v="6"/>
    <x v="0"/>
    <n v="3"/>
    <n v="50"/>
    <n v="150"/>
    <x v="0"/>
    <x v="2"/>
  </r>
  <r>
    <d v="2023-10-19T00:00:00"/>
    <x v="555"/>
    <x v="0"/>
    <x v="36"/>
    <x v="0"/>
    <n v="1"/>
    <n v="300"/>
    <n v="300"/>
    <x v="7"/>
    <x v="6"/>
  </r>
  <r>
    <d v="2023-06-04T00:00:00"/>
    <x v="556"/>
    <x v="1"/>
    <x v="18"/>
    <x v="2"/>
    <n v="1"/>
    <n v="50"/>
    <n v="50"/>
    <x v="10"/>
    <x v="2"/>
  </r>
  <r>
    <d v="2023-07-27T00:00:00"/>
    <x v="557"/>
    <x v="1"/>
    <x v="29"/>
    <x v="0"/>
    <n v="3"/>
    <n v="30"/>
    <n v="90"/>
    <x v="11"/>
    <x v="6"/>
  </r>
  <r>
    <d v="2023-10-08T00:00:00"/>
    <x v="558"/>
    <x v="1"/>
    <x v="41"/>
    <x v="1"/>
    <n v="1"/>
    <n v="25"/>
    <n v="25"/>
    <x v="7"/>
    <x v="2"/>
  </r>
  <r>
    <d v="2023-01-01T00:00:00"/>
    <x v="559"/>
    <x v="1"/>
    <x v="30"/>
    <x v="1"/>
    <n v="4"/>
    <n v="300"/>
    <n v="1200"/>
    <x v="2"/>
    <x v="2"/>
  </r>
  <r>
    <d v="2023-06-05T00:00:00"/>
    <x v="560"/>
    <x v="1"/>
    <x v="36"/>
    <x v="2"/>
    <n v="1"/>
    <n v="50"/>
    <n v="50"/>
    <x v="10"/>
    <x v="1"/>
  </r>
  <r>
    <d v="2023-05-27T00:00:00"/>
    <x v="561"/>
    <x v="1"/>
    <x v="12"/>
    <x v="1"/>
    <n v="4"/>
    <n v="500"/>
    <n v="2000"/>
    <x v="3"/>
    <x v="3"/>
  </r>
  <r>
    <d v="2023-04-18T00:00:00"/>
    <x v="562"/>
    <x v="0"/>
    <x v="31"/>
    <x v="2"/>
    <n v="2"/>
    <n v="25"/>
    <n v="50"/>
    <x v="4"/>
    <x v="4"/>
  </r>
  <r>
    <d v="2023-08-09T00:00:00"/>
    <x v="563"/>
    <x v="0"/>
    <x v="29"/>
    <x v="1"/>
    <n v="2"/>
    <n v="30"/>
    <n v="60"/>
    <x v="8"/>
    <x v="5"/>
  </r>
  <r>
    <d v="2023-10-24T00:00:00"/>
    <x v="564"/>
    <x v="0"/>
    <x v="2"/>
    <x v="2"/>
    <n v="2"/>
    <n v="50"/>
    <n v="100"/>
    <x v="7"/>
    <x v="4"/>
  </r>
  <r>
    <d v="2023-11-07T00:00:00"/>
    <x v="565"/>
    <x v="1"/>
    <x v="5"/>
    <x v="0"/>
    <n v="2"/>
    <n v="30"/>
    <n v="60"/>
    <x v="0"/>
    <x v="4"/>
  </r>
  <r>
    <d v="2023-12-02T00:00:00"/>
    <x v="566"/>
    <x v="1"/>
    <x v="12"/>
    <x v="1"/>
    <n v="1"/>
    <n v="30"/>
    <n v="30"/>
    <x v="6"/>
    <x v="3"/>
  </r>
  <r>
    <d v="2023-06-14T00:00:00"/>
    <x v="567"/>
    <x v="1"/>
    <x v="36"/>
    <x v="1"/>
    <n v="3"/>
    <n v="300"/>
    <n v="900"/>
    <x v="10"/>
    <x v="5"/>
  </r>
  <r>
    <d v="2023-08-27T00:00:00"/>
    <x v="568"/>
    <x v="1"/>
    <x v="25"/>
    <x v="2"/>
    <n v="1"/>
    <n v="300"/>
    <n v="300"/>
    <x v="8"/>
    <x v="2"/>
  </r>
  <r>
    <d v="2023-08-15T00:00:00"/>
    <x v="569"/>
    <x v="0"/>
    <x v="8"/>
    <x v="2"/>
    <n v="4"/>
    <n v="50"/>
    <n v="200"/>
    <x v="8"/>
    <x v="4"/>
  </r>
  <r>
    <d v="2023-08-15T00:00:00"/>
    <x v="570"/>
    <x v="0"/>
    <x v="19"/>
    <x v="1"/>
    <n v="1"/>
    <n v="500"/>
    <n v="500"/>
    <x v="8"/>
    <x v="4"/>
  </r>
  <r>
    <d v="2023-12-12T00:00:00"/>
    <x v="571"/>
    <x v="1"/>
    <x v="41"/>
    <x v="2"/>
    <n v="1"/>
    <n v="50"/>
    <n v="50"/>
    <x v="6"/>
    <x v="4"/>
  </r>
  <r>
    <d v="2023-04-20T00:00:00"/>
    <x v="572"/>
    <x v="0"/>
    <x v="33"/>
    <x v="1"/>
    <n v="4"/>
    <n v="500"/>
    <n v="2000"/>
    <x v="4"/>
    <x v="6"/>
  </r>
  <r>
    <d v="2023-09-19T00:00:00"/>
    <x v="573"/>
    <x v="0"/>
    <x v="19"/>
    <x v="0"/>
    <n v="2"/>
    <n v="30"/>
    <n v="60"/>
    <x v="9"/>
    <x v="4"/>
  </r>
  <r>
    <d v="2023-08-31T00:00:00"/>
    <x v="574"/>
    <x v="1"/>
    <x v="7"/>
    <x v="2"/>
    <n v="2"/>
    <n v="25"/>
    <n v="50"/>
    <x v="8"/>
    <x v="6"/>
  </r>
  <r>
    <d v="2023-03-28T00:00:00"/>
    <x v="575"/>
    <x v="0"/>
    <x v="43"/>
    <x v="1"/>
    <n v="2"/>
    <n v="50"/>
    <n v="100"/>
    <x v="5"/>
    <x v="4"/>
  </r>
  <r>
    <d v="2023-12-04T00:00:00"/>
    <x v="576"/>
    <x v="1"/>
    <x v="44"/>
    <x v="0"/>
    <n v="3"/>
    <n v="50"/>
    <n v="150"/>
    <x v="6"/>
    <x v="1"/>
  </r>
  <r>
    <d v="2023-02-13T00:00:00"/>
    <x v="577"/>
    <x v="0"/>
    <x v="34"/>
    <x v="0"/>
    <n v="4"/>
    <n v="500"/>
    <n v="2000"/>
    <x v="1"/>
    <x v="1"/>
  </r>
  <r>
    <d v="2023-05-26T00:00:00"/>
    <x v="578"/>
    <x v="1"/>
    <x v="31"/>
    <x v="1"/>
    <n v="4"/>
    <n v="30"/>
    <n v="120"/>
    <x v="3"/>
    <x v="0"/>
  </r>
  <r>
    <d v="2023-09-21T00:00:00"/>
    <x v="579"/>
    <x v="1"/>
    <x v="21"/>
    <x v="2"/>
    <n v="1"/>
    <n v="30"/>
    <n v="30"/>
    <x v="9"/>
    <x v="6"/>
  </r>
  <r>
    <d v="2023-12-06T00:00:00"/>
    <x v="580"/>
    <x v="1"/>
    <x v="33"/>
    <x v="1"/>
    <n v="3"/>
    <n v="500"/>
    <n v="1500"/>
    <x v="6"/>
    <x v="5"/>
  </r>
  <r>
    <d v="2023-11-21T00:00:00"/>
    <x v="581"/>
    <x v="1"/>
    <x v="27"/>
    <x v="0"/>
    <n v="2"/>
    <n v="30"/>
    <n v="60"/>
    <x v="0"/>
    <x v="4"/>
  </r>
  <r>
    <d v="2023-11-14T00:00:00"/>
    <x v="582"/>
    <x v="0"/>
    <x v="10"/>
    <x v="1"/>
    <n v="3"/>
    <n v="300"/>
    <n v="900"/>
    <x v="0"/>
    <x v="4"/>
  </r>
  <r>
    <d v="2023-06-21T00:00:00"/>
    <x v="583"/>
    <x v="1"/>
    <x v="46"/>
    <x v="2"/>
    <n v="4"/>
    <n v="25"/>
    <n v="100"/>
    <x v="10"/>
    <x v="5"/>
  </r>
  <r>
    <d v="2023-02-17T00:00:00"/>
    <x v="584"/>
    <x v="1"/>
    <x v="15"/>
    <x v="0"/>
    <n v="4"/>
    <n v="50"/>
    <n v="200"/>
    <x v="1"/>
    <x v="0"/>
  </r>
  <r>
    <d v="2023-05-01T00:00:00"/>
    <x v="585"/>
    <x v="1"/>
    <x v="46"/>
    <x v="1"/>
    <n v="1"/>
    <n v="25"/>
    <n v="25"/>
    <x v="3"/>
    <x v="1"/>
  </r>
  <r>
    <d v="2023-12-11T00:00:00"/>
    <x v="586"/>
    <x v="0"/>
    <x v="2"/>
    <x v="2"/>
    <n v="1"/>
    <n v="50"/>
    <n v="50"/>
    <x v="6"/>
    <x v="1"/>
  </r>
  <r>
    <d v="2023-06-08T00:00:00"/>
    <x v="587"/>
    <x v="1"/>
    <x v="30"/>
    <x v="0"/>
    <n v="4"/>
    <n v="300"/>
    <n v="1200"/>
    <x v="10"/>
    <x v="6"/>
  </r>
  <r>
    <d v="2023-04-26T00:00:00"/>
    <x v="588"/>
    <x v="0"/>
    <x v="21"/>
    <x v="2"/>
    <n v="2"/>
    <n v="30"/>
    <n v="60"/>
    <x v="4"/>
    <x v="5"/>
  </r>
  <r>
    <d v="2023-04-12T00:00:00"/>
    <x v="589"/>
    <x v="1"/>
    <x v="32"/>
    <x v="0"/>
    <n v="2"/>
    <n v="500"/>
    <n v="1000"/>
    <x v="4"/>
    <x v="5"/>
  </r>
  <r>
    <d v="2023-03-17T00:00:00"/>
    <x v="590"/>
    <x v="0"/>
    <x v="32"/>
    <x v="1"/>
    <n v="3"/>
    <n v="300"/>
    <n v="900"/>
    <x v="5"/>
    <x v="0"/>
  </r>
  <r>
    <d v="2023-01-13T00:00:00"/>
    <x v="591"/>
    <x v="0"/>
    <x v="45"/>
    <x v="2"/>
    <n v="4"/>
    <n v="25"/>
    <n v="100"/>
    <x v="2"/>
    <x v="0"/>
  </r>
  <r>
    <d v="2023-01-24T00:00:00"/>
    <x v="592"/>
    <x v="1"/>
    <x v="6"/>
    <x v="0"/>
    <n v="4"/>
    <n v="500"/>
    <n v="2000"/>
    <x v="2"/>
    <x v="4"/>
  </r>
  <r>
    <d v="2023-05-06T00:00:00"/>
    <x v="593"/>
    <x v="0"/>
    <x v="10"/>
    <x v="2"/>
    <n v="2"/>
    <n v="30"/>
    <n v="60"/>
    <x v="3"/>
    <x v="3"/>
  </r>
  <r>
    <d v="2023-09-01T00:00:00"/>
    <x v="594"/>
    <x v="1"/>
    <x v="14"/>
    <x v="2"/>
    <n v="2"/>
    <n v="300"/>
    <n v="600"/>
    <x v="9"/>
    <x v="0"/>
  </r>
  <r>
    <d v="2023-11-09T00:00:00"/>
    <x v="595"/>
    <x v="1"/>
    <x v="18"/>
    <x v="1"/>
    <n v="4"/>
    <n v="500"/>
    <n v="2000"/>
    <x v="0"/>
    <x v="6"/>
  </r>
  <r>
    <d v="2023-02-07T00:00:00"/>
    <x v="596"/>
    <x v="1"/>
    <x v="12"/>
    <x v="2"/>
    <n v="1"/>
    <n v="300"/>
    <n v="300"/>
    <x v="1"/>
    <x v="4"/>
  </r>
  <r>
    <d v="2023-08-22T00:00:00"/>
    <x v="597"/>
    <x v="0"/>
    <x v="11"/>
    <x v="0"/>
    <n v="4"/>
    <n v="300"/>
    <n v="1200"/>
    <x v="8"/>
    <x v="4"/>
  </r>
  <r>
    <d v="2023-08-01T00:00:00"/>
    <x v="598"/>
    <x v="0"/>
    <x v="3"/>
    <x v="0"/>
    <n v="4"/>
    <n v="30"/>
    <n v="120"/>
    <x v="8"/>
    <x v="4"/>
  </r>
  <r>
    <d v="2023-11-19T00:00:00"/>
    <x v="599"/>
    <x v="1"/>
    <x v="20"/>
    <x v="0"/>
    <n v="2"/>
    <n v="50"/>
    <n v="100"/>
    <x v="0"/>
    <x v="2"/>
  </r>
  <r>
    <d v="2023-10-22T00:00:00"/>
    <x v="600"/>
    <x v="1"/>
    <x v="42"/>
    <x v="0"/>
    <n v="2"/>
    <n v="500"/>
    <n v="1000"/>
    <x v="7"/>
    <x v="2"/>
  </r>
  <r>
    <d v="2023-04-10T00:00:00"/>
    <x v="601"/>
    <x v="0"/>
    <x v="14"/>
    <x v="1"/>
    <n v="1"/>
    <n v="30"/>
    <n v="30"/>
    <x v="4"/>
    <x v="1"/>
  </r>
  <r>
    <d v="2023-12-23T00:00:00"/>
    <x v="602"/>
    <x v="1"/>
    <x v="29"/>
    <x v="2"/>
    <n v="1"/>
    <n v="300"/>
    <n v="300"/>
    <x v="6"/>
    <x v="3"/>
  </r>
  <r>
    <d v="2023-07-16T00:00:00"/>
    <x v="603"/>
    <x v="1"/>
    <x v="30"/>
    <x v="1"/>
    <n v="3"/>
    <n v="30"/>
    <n v="90"/>
    <x v="11"/>
    <x v="2"/>
  </r>
  <r>
    <d v="2023-09-11T00:00:00"/>
    <x v="604"/>
    <x v="1"/>
    <x v="38"/>
    <x v="2"/>
    <n v="4"/>
    <n v="50"/>
    <n v="200"/>
    <x v="9"/>
    <x v="1"/>
  </r>
  <r>
    <d v="2023-07-24T00:00:00"/>
    <x v="605"/>
    <x v="0"/>
    <x v="3"/>
    <x v="2"/>
    <n v="2"/>
    <n v="500"/>
    <n v="1000"/>
    <x v="11"/>
    <x v="1"/>
  </r>
  <r>
    <d v="2023-05-05T00:00:00"/>
    <x v="606"/>
    <x v="0"/>
    <x v="11"/>
    <x v="2"/>
    <n v="1"/>
    <n v="50"/>
    <n v="50"/>
    <x v="3"/>
    <x v="0"/>
  </r>
  <r>
    <d v="2023-03-17T00:00:00"/>
    <x v="607"/>
    <x v="0"/>
    <x v="31"/>
    <x v="1"/>
    <n v="3"/>
    <n v="25"/>
    <n v="75"/>
    <x v="5"/>
    <x v="0"/>
  </r>
  <r>
    <d v="2023-12-02T00:00:00"/>
    <x v="608"/>
    <x v="1"/>
    <x v="28"/>
    <x v="2"/>
    <n v="3"/>
    <n v="500"/>
    <n v="1500"/>
    <x v="6"/>
    <x v="3"/>
  </r>
  <r>
    <d v="2023-12-19T00:00:00"/>
    <x v="609"/>
    <x v="1"/>
    <x v="16"/>
    <x v="1"/>
    <n v="2"/>
    <n v="50"/>
    <n v="100"/>
    <x v="6"/>
    <x v="4"/>
  </r>
  <r>
    <d v="2023-01-03T00:00:00"/>
    <x v="610"/>
    <x v="1"/>
    <x v="1"/>
    <x v="0"/>
    <n v="2"/>
    <n v="300"/>
    <n v="600"/>
    <x v="2"/>
    <x v="4"/>
  </r>
  <r>
    <d v="2023-02-24T00:00:00"/>
    <x v="611"/>
    <x v="0"/>
    <x v="25"/>
    <x v="0"/>
    <n v="3"/>
    <n v="500"/>
    <n v="1500"/>
    <x v="1"/>
    <x v="0"/>
  </r>
  <r>
    <d v="2023-08-06T00:00:00"/>
    <x v="612"/>
    <x v="1"/>
    <x v="39"/>
    <x v="2"/>
    <n v="1"/>
    <n v="500"/>
    <n v="500"/>
    <x v="8"/>
    <x v="2"/>
  </r>
  <r>
    <d v="2023-04-23T00:00:00"/>
    <x v="613"/>
    <x v="1"/>
    <x v="8"/>
    <x v="1"/>
    <n v="3"/>
    <n v="30"/>
    <n v="90"/>
    <x v="4"/>
    <x v="2"/>
  </r>
  <r>
    <d v="2023-04-01T00:00:00"/>
    <x v="614"/>
    <x v="1"/>
    <x v="23"/>
    <x v="0"/>
    <n v="4"/>
    <n v="300"/>
    <n v="1200"/>
    <x v="4"/>
    <x v="3"/>
  </r>
  <r>
    <d v="2023-12-23T00:00:00"/>
    <x v="615"/>
    <x v="1"/>
    <x v="39"/>
    <x v="1"/>
    <n v="4"/>
    <n v="25"/>
    <n v="100"/>
    <x v="6"/>
    <x v="3"/>
  </r>
  <r>
    <d v="2023-09-23T00:00:00"/>
    <x v="616"/>
    <x v="0"/>
    <x v="41"/>
    <x v="1"/>
    <n v="2"/>
    <n v="50"/>
    <n v="100"/>
    <x v="9"/>
    <x v="3"/>
  </r>
  <r>
    <d v="2023-08-26T00:00:00"/>
    <x v="617"/>
    <x v="0"/>
    <x v="0"/>
    <x v="2"/>
    <n v="1"/>
    <n v="30"/>
    <n v="30"/>
    <x v="8"/>
    <x v="3"/>
  </r>
  <r>
    <d v="2023-01-26T00:00:00"/>
    <x v="618"/>
    <x v="1"/>
    <x v="15"/>
    <x v="0"/>
    <n v="1"/>
    <n v="50"/>
    <n v="50"/>
    <x v="2"/>
    <x v="6"/>
  </r>
  <r>
    <d v="2023-10-13T00:00:00"/>
    <x v="619"/>
    <x v="0"/>
    <x v="16"/>
    <x v="2"/>
    <n v="4"/>
    <n v="25"/>
    <n v="100"/>
    <x v="7"/>
    <x v="0"/>
  </r>
  <r>
    <d v="2023-05-08T00:00:00"/>
    <x v="620"/>
    <x v="0"/>
    <x v="7"/>
    <x v="2"/>
    <n v="3"/>
    <n v="25"/>
    <n v="75"/>
    <x v="3"/>
    <x v="1"/>
  </r>
  <r>
    <d v="2023-03-04T00:00:00"/>
    <x v="621"/>
    <x v="1"/>
    <x v="30"/>
    <x v="0"/>
    <n v="2"/>
    <n v="500"/>
    <n v="1000"/>
    <x v="5"/>
    <x v="3"/>
  </r>
  <r>
    <d v="2023-08-22T00:00:00"/>
    <x v="622"/>
    <x v="1"/>
    <x v="19"/>
    <x v="0"/>
    <n v="3"/>
    <n v="25"/>
    <n v="75"/>
    <x v="8"/>
    <x v="4"/>
  </r>
  <r>
    <d v="2023-03-10T00:00:00"/>
    <x v="623"/>
    <x v="0"/>
    <x v="0"/>
    <x v="1"/>
    <n v="3"/>
    <n v="50"/>
    <n v="150"/>
    <x v="5"/>
    <x v="0"/>
  </r>
  <r>
    <d v="2023-08-26T00:00:00"/>
    <x v="624"/>
    <x v="1"/>
    <x v="0"/>
    <x v="0"/>
    <n v="3"/>
    <n v="300"/>
    <n v="900"/>
    <x v="8"/>
    <x v="3"/>
  </r>
  <r>
    <d v="2023-12-08T00:00:00"/>
    <x v="625"/>
    <x v="0"/>
    <x v="33"/>
    <x v="1"/>
    <n v="1"/>
    <n v="300"/>
    <n v="300"/>
    <x v="6"/>
    <x v="0"/>
  </r>
  <r>
    <d v="2023-09-29T00:00:00"/>
    <x v="626"/>
    <x v="1"/>
    <x v="1"/>
    <x v="1"/>
    <n v="4"/>
    <n v="500"/>
    <n v="2000"/>
    <x v="9"/>
    <x v="0"/>
  </r>
  <r>
    <d v="2023-10-14T00:00:00"/>
    <x v="627"/>
    <x v="0"/>
    <x v="35"/>
    <x v="1"/>
    <n v="1"/>
    <n v="50"/>
    <n v="50"/>
    <x v="7"/>
    <x v="3"/>
  </r>
  <r>
    <d v="2023-11-01T00:00:00"/>
    <x v="628"/>
    <x v="1"/>
    <x v="14"/>
    <x v="0"/>
    <n v="4"/>
    <n v="50"/>
    <n v="200"/>
    <x v="0"/>
    <x v="5"/>
  </r>
  <r>
    <d v="2023-06-12T00:00:00"/>
    <x v="629"/>
    <x v="0"/>
    <x v="17"/>
    <x v="2"/>
    <n v="2"/>
    <n v="25"/>
    <n v="50"/>
    <x v="10"/>
    <x v="1"/>
  </r>
  <r>
    <d v="2023-08-15T00:00:00"/>
    <x v="630"/>
    <x v="0"/>
    <x v="13"/>
    <x v="1"/>
    <n v="2"/>
    <n v="50"/>
    <n v="100"/>
    <x v="8"/>
    <x v="4"/>
  </r>
  <r>
    <d v="2023-11-10T00:00:00"/>
    <x v="631"/>
    <x v="0"/>
    <x v="37"/>
    <x v="2"/>
    <n v="3"/>
    <n v="30"/>
    <n v="90"/>
    <x v="0"/>
    <x v="0"/>
  </r>
  <r>
    <d v="2023-09-16T00:00:00"/>
    <x v="632"/>
    <x v="1"/>
    <x v="1"/>
    <x v="2"/>
    <n v="4"/>
    <n v="25"/>
    <n v="100"/>
    <x v="9"/>
    <x v="3"/>
  </r>
  <r>
    <d v="2023-08-07T00:00:00"/>
    <x v="633"/>
    <x v="0"/>
    <x v="23"/>
    <x v="0"/>
    <n v="4"/>
    <n v="30"/>
    <n v="120"/>
    <x v="8"/>
    <x v="1"/>
  </r>
  <r>
    <d v="2023-10-08T00:00:00"/>
    <x v="634"/>
    <x v="0"/>
    <x v="43"/>
    <x v="2"/>
    <n v="4"/>
    <n v="500"/>
    <n v="2000"/>
    <x v="7"/>
    <x v="2"/>
  </r>
  <r>
    <d v="2023-08-17T00:00:00"/>
    <x v="635"/>
    <x v="1"/>
    <x v="7"/>
    <x v="2"/>
    <n v="3"/>
    <n v="300"/>
    <n v="900"/>
    <x v="8"/>
    <x v="6"/>
  </r>
  <r>
    <d v="2023-03-23T00:00:00"/>
    <x v="636"/>
    <x v="1"/>
    <x v="34"/>
    <x v="0"/>
    <n v="3"/>
    <n v="500"/>
    <n v="1500"/>
    <x v="5"/>
    <x v="6"/>
  </r>
  <r>
    <d v="2023-09-01T00:00:00"/>
    <x v="637"/>
    <x v="0"/>
    <x v="22"/>
    <x v="1"/>
    <n v="2"/>
    <n v="300"/>
    <n v="600"/>
    <x v="9"/>
    <x v="0"/>
  </r>
  <r>
    <d v="2023-08-19T00:00:00"/>
    <x v="638"/>
    <x v="0"/>
    <x v="6"/>
    <x v="2"/>
    <n v="1"/>
    <n v="500"/>
    <n v="500"/>
    <x v="8"/>
    <x v="3"/>
  </r>
  <r>
    <d v="2023-05-13T00:00:00"/>
    <x v="639"/>
    <x v="1"/>
    <x v="17"/>
    <x v="0"/>
    <n v="4"/>
    <n v="50"/>
    <n v="200"/>
    <x v="3"/>
    <x v="3"/>
  </r>
  <r>
    <d v="2023-05-07T00:00:00"/>
    <x v="640"/>
    <x v="1"/>
    <x v="25"/>
    <x v="2"/>
    <n v="4"/>
    <n v="30"/>
    <n v="120"/>
    <x v="3"/>
    <x v="2"/>
  </r>
  <r>
    <d v="2023-11-23T00:00:00"/>
    <x v="641"/>
    <x v="1"/>
    <x v="30"/>
    <x v="2"/>
    <n v="1"/>
    <n v="300"/>
    <n v="300"/>
    <x v="0"/>
    <x v="6"/>
  </r>
  <r>
    <d v="2023-05-22T00:00:00"/>
    <x v="642"/>
    <x v="1"/>
    <x v="31"/>
    <x v="1"/>
    <n v="4"/>
    <n v="25"/>
    <n v="100"/>
    <x v="3"/>
    <x v="1"/>
  </r>
  <r>
    <d v="2023-09-24T00:00:00"/>
    <x v="643"/>
    <x v="1"/>
    <x v="20"/>
    <x v="2"/>
    <n v="3"/>
    <n v="30"/>
    <n v="90"/>
    <x v="9"/>
    <x v="2"/>
  </r>
  <r>
    <d v="2023-09-06T00:00:00"/>
    <x v="644"/>
    <x v="0"/>
    <x v="9"/>
    <x v="0"/>
    <n v="3"/>
    <n v="25"/>
    <n v="75"/>
    <x v="9"/>
    <x v="5"/>
  </r>
  <r>
    <d v="2023-11-17T00:00:00"/>
    <x v="645"/>
    <x v="1"/>
    <x v="10"/>
    <x v="2"/>
    <n v="4"/>
    <n v="30"/>
    <n v="120"/>
    <x v="0"/>
    <x v="0"/>
  </r>
  <r>
    <d v="2023-05-03T00:00:00"/>
    <x v="646"/>
    <x v="0"/>
    <x v="21"/>
    <x v="1"/>
    <n v="3"/>
    <n v="30"/>
    <n v="90"/>
    <x v="3"/>
    <x v="5"/>
  </r>
  <r>
    <d v="2023-05-21T00:00:00"/>
    <x v="647"/>
    <x v="0"/>
    <x v="42"/>
    <x v="1"/>
    <n v="3"/>
    <n v="500"/>
    <n v="1500"/>
    <x v="3"/>
    <x v="2"/>
  </r>
  <r>
    <d v="2023-08-14T00:00:00"/>
    <x v="648"/>
    <x v="0"/>
    <x v="45"/>
    <x v="0"/>
    <n v="4"/>
    <n v="300"/>
    <n v="1200"/>
    <x v="8"/>
    <x v="1"/>
  </r>
  <r>
    <d v="2023-02-09T00:00:00"/>
    <x v="649"/>
    <x v="1"/>
    <x v="26"/>
    <x v="1"/>
    <n v="2"/>
    <n v="300"/>
    <n v="600"/>
    <x v="1"/>
    <x v="6"/>
  </r>
  <r>
    <d v="2024-01-01T00:00:00"/>
    <x v="650"/>
    <x v="0"/>
    <x v="28"/>
    <x v="2"/>
    <n v="1"/>
    <n v="30"/>
    <n v="30"/>
    <x v="2"/>
    <x v="1"/>
  </r>
  <r>
    <d v="2023-05-27T00:00:00"/>
    <x v="651"/>
    <x v="0"/>
    <x v="25"/>
    <x v="1"/>
    <n v="3"/>
    <n v="50"/>
    <n v="150"/>
    <x v="3"/>
    <x v="3"/>
  </r>
  <r>
    <d v="2023-05-01T00:00:00"/>
    <x v="652"/>
    <x v="1"/>
    <x v="0"/>
    <x v="0"/>
    <n v="2"/>
    <n v="50"/>
    <n v="100"/>
    <x v="3"/>
    <x v="1"/>
  </r>
  <r>
    <d v="2023-05-20T00:00:00"/>
    <x v="653"/>
    <x v="0"/>
    <x v="31"/>
    <x v="1"/>
    <n v="3"/>
    <n v="25"/>
    <n v="75"/>
    <x v="3"/>
    <x v="3"/>
  </r>
  <r>
    <d v="2023-06-21T00:00:00"/>
    <x v="654"/>
    <x v="0"/>
    <x v="13"/>
    <x v="1"/>
    <n v="3"/>
    <n v="25"/>
    <n v="75"/>
    <x v="10"/>
    <x v="5"/>
  </r>
  <r>
    <d v="2023-06-13T00:00:00"/>
    <x v="655"/>
    <x v="1"/>
    <x v="28"/>
    <x v="1"/>
    <n v="1"/>
    <n v="500"/>
    <n v="500"/>
    <x v="10"/>
    <x v="4"/>
  </r>
  <r>
    <d v="2023-10-04T00:00:00"/>
    <x v="656"/>
    <x v="0"/>
    <x v="38"/>
    <x v="0"/>
    <n v="3"/>
    <n v="30"/>
    <n v="90"/>
    <x v="7"/>
    <x v="5"/>
  </r>
  <r>
    <d v="2023-02-11T00:00:00"/>
    <x v="657"/>
    <x v="0"/>
    <x v="30"/>
    <x v="1"/>
    <n v="1"/>
    <n v="25"/>
    <n v="25"/>
    <x v="1"/>
    <x v="3"/>
  </r>
  <r>
    <d v="2023-03-12T00:00:00"/>
    <x v="658"/>
    <x v="0"/>
    <x v="42"/>
    <x v="1"/>
    <n v="1"/>
    <n v="25"/>
    <n v="25"/>
    <x v="5"/>
    <x v="2"/>
  </r>
  <r>
    <d v="2023-03-19T00:00:00"/>
    <x v="659"/>
    <x v="1"/>
    <x v="23"/>
    <x v="2"/>
    <n v="1"/>
    <n v="30"/>
    <n v="30"/>
    <x v="5"/>
    <x v="2"/>
  </r>
  <r>
    <d v="2023-04-29T00:00:00"/>
    <x v="660"/>
    <x v="1"/>
    <x v="21"/>
    <x v="0"/>
    <n v="2"/>
    <n v="500"/>
    <n v="1000"/>
    <x v="4"/>
    <x v="3"/>
  </r>
  <r>
    <d v="2023-07-16T00:00:00"/>
    <x v="661"/>
    <x v="1"/>
    <x v="24"/>
    <x v="1"/>
    <n v="4"/>
    <n v="25"/>
    <n v="100"/>
    <x v="11"/>
    <x v="2"/>
  </r>
  <r>
    <d v="2023-12-22T00:00:00"/>
    <x v="662"/>
    <x v="0"/>
    <x v="27"/>
    <x v="0"/>
    <n v="2"/>
    <n v="500"/>
    <n v="1000"/>
    <x v="6"/>
    <x v="0"/>
  </r>
  <r>
    <d v="2023-03-20T00:00:00"/>
    <x v="663"/>
    <x v="0"/>
    <x v="9"/>
    <x v="1"/>
    <n v="4"/>
    <n v="300"/>
    <n v="1200"/>
    <x v="5"/>
    <x v="1"/>
  </r>
  <r>
    <d v="2023-12-28T00:00:00"/>
    <x v="664"/>
    <x v="1"/>
    <x v="24"/>
    <x v="1"/>
    <n v="4"/>
    <n v="500"/>
    <n v="2000"/>
    <x v="6"/>
    <x v="6"/>
  </r>
  <r>
    <d v="2023-04-20T00:00:00"/>
    <x v="665"/>
    <x v="0"/>
    <x v="35"/>
    <x v="1"/>
    <n v="1"/>
    <n v="50"/>
    <n v="50"/>
    <x v="4"/>
    <x v="6"/>
  </r>
  <r>
    <d v="2023-02-02T00:00:00"/>
    <x v="666"/>
    <x v="0"/>
    <x v="25"/>
    <x v="2"/>
    <n v="3"/>
    <n v="50"/>
    <n v="150"/>
    <x v="1"/>
    <x v="6"/>
  </r>
  <r>
    <d v="2023-08-01T00:00:00"/>
    <x v="667"/>
    <x v="1"/>
    <x v="38"/>
    <x v="2"/>
    <n v="1"/>
    <n v="500"/>
    <n v="500"/>
    <x v="8"/>
    <x v="4"/>
  </r>
  <r>
    <d v="2023-07-28T00:00:00"/>
    <x v="668"/>
    <x v="1"/>
    <x v="17"/>
    <x v="2"/>
    <n v="3"/>
    <n v="50"/>
    <n v="150"/>
    <x v="11"/>
    <x v="0"/>
  </r>
  <r>
    <d v="2023-06-19T00:00:00"/>
    <x v="669"/>
    <x v="0"/>
    <x v="46"/>
    <x v="0"/>
    <n v="4"/>
    <n v="300"/>
    <n v="1200"/>
    <x v="10"/>
    <x v="1"/>
  </r>
  <r>
    <d v="2023-10-05T00:00:00"/>
    <x v="670"/>
    <x v="0"/>
    <x v="15"/>
    <x v="0"/>
    <n v="1"/>
    <n v="30"/>
    <n v="30"/>
    <x v="7"/>
    <x v="6"/>
  </r>
  <r>
    <d v="2023-08-27T00:00:00"/>
    <x v="671"/>
    <x v="0"/>
    <x v="17"/>
    <x v="2"/>
    <n v="3"/>
    <n v="50"/>
    <n v="150"/>
    <x v="8"/>
    <x v="2"/>
  </r>
  <r>
    <d v="2023-08-01T00:00:00"/>
    <x v="672"/>
    <x v="1"/>
    <x v="0"/>
    <x v="0"/>
    <n v="2"/>
    <n v="50"/>
    <n v="100"/>
    <x v="8"/>
    <x v="4"/>
  </r>
  <r>
    <d v="2023-02-01T00:00:00"/>
    <x v="673"/>
    <x v="1"/>
    <x v="22"/>
    <x v="1"/>
    <n v="3"/>
    <n v="500"/>
    <n v="1500"/>
    <x v="1"/>
    <x v="5"/>
  </r>
  <r>
    <d v="2023-04-16T00:00:00"/>
    <x v="674"/>
    <x v="1"/>
    <x v="21"/>
    <x v="1"/>
    <n v="1"/>
    <n v="300"/>
    <n v="300"/>
    <x v="4"/>
    <x v="2"/>
  </r>
  <r>
    <d v="2023-08-04T00:00:00"/>
    <x v="675"/>
    <x v="1"/>
    <x v="5"/>
    <x v="1"/>
    <n v="2"/>
    <n v="30"/>
    <n v="60"/>
    <x v="8"/>
    <x v="0"/>
  </r>
  <r>
    <d v="2023-07-19T00:00:00"/>
    <x v="676"/>
    <x v="0"/>
    <x v="7"/>
    <x v="2"/>
    <n v="3"/>
    <n v="500"/>
    <n v="1500"/>
    <x v="11"/>
    <x v="5"/>
  </r>
  <r>
    <d v="2023-10-27T00:00:00"/>
    <x v="677"/>
    <x v="1"/>
    <x v="14"/>
    <x v="0"/>
    <n v="3"/>
    <n v="500"/>
    <n v="1500"/>
    <x v="7"/>
    <x v="0"/>
  </r>
  <r>
    <d v="2023-12-23T00:00:00"/>
    <x v="678"/>
    <x v="1"/>
    <x v="43"/>
    <x v="2"/>
    <n v="3"/>
    <n v="300"/>
    <n v="900"/>
    <x v="6"/>
    <x v="3"/>
  </r>
  <r>
    <d v="2023-01-11T00:00:00"/>
    <x v="679"/>
    <x v="1"/>
    <x v="18"/>
    <x v="0"/>
    <n v="3"/>
    <n v="30"/>
    <n v="90"/>
    <x v="2"/>
    <x v="5"/>
  </r>
  <r>
    <d v="2023-10-22T00:00:00"/>
    <x v="680"/>
    <x v="1"/>
    <x v="45"/>
    <x v="1"/>
    <n v="3"/>
    <n v="300"/>
    <n v="900"/>
    <x v="7"/>
    <x v="2"/>
  </r>
  <r>
    <d v="2023-07-14T00:00:00"/>
    <x v="681"/>
    <x v="1"/>
    <x v="22"/>
    <x v="2"/>
    <n v="2"/>
    <n v="30"/>
    <n v="60"/>
    <x v="11"/>
    <x v="0"/>
  </r>
  <r>
    <d v="2023-09-02T00:00:00"/>
    <x v="682"/>
    <x v="0"/>
    <x v="6"/>
    <x v="0"/>
    <n v="4"/>
    <n v="300"/>
    <n v="1200"/>
    <x v="9"/>
    <x v="3"/>
  </r>
  <r>
    <d v="2023-01-04T00:00:00"/>
    <x v="683"/>
    <x v="0"/>
    <x v="21"/>
    <x v="0"/>
    <n v="2"/>
    <n v="500"/>
    <n v="1000"/>
    <x v="2"/>
    <x v="5"/>
  </r>
  <r>
    <d v="2023-06-30T00:00:00"/>
    <x v="684"/>
    <x v="1"/>
    <x v="20"/>
    <x v="1"/>
    <n v="2"/>
    <n v="500"/>
    <n v="1000"/>
    <x v="10"/>
    <x v="0"/>
  </r>
  <r>
    <d v="2023-06-02T00:00:00"/>
    <x v="685"/>
    <x v="0"/>
    <x v="35"/>
    <x v="2"/>
    <n v="2"/>
    <n v="25"/>
    <n v="50"/>
    <x v="10"/>
    <x v="0"/>
  </r>
  <r>
    <d v="2023-07-19T00:00:00"/>
    <x v="686"/>
    <x v="1"/>
    <x v="20"/>
    <x v="2"/>
    <n v="4"/>
    <n v="50"/>
    <n v="200"/>
    <x v="11"/>
    <x v="5"/>
  </r>
  <r>
    <d v="2023-08-03T00:00:00"/>
    <x v="687"/>
    <x v="1"/>
    <x v="45"/>
    <x v="2"/>
    <n v="1"/>
    <n v="300"/>
    <n v="300"/>
    <x v="8"/>
    <x v="6"/>
  </r>
  <r>
    <d v="2023-10-03T00:00:00"/>
    <x v="688"/>
    <x v="0"/>
    <x v="37"/>
    <x v="1"/>
    <n v="4"/>
    <n v="25"/>
    <n v="100"/>
    <x v="7"/>
    <x v="4"/>
  </r>
  <r>
    <d v="2023-10-07T00:00:00"/>
    <x v="689"/>
    <x v="0"/>
    <x v="35"/>
    <x v="2"/>
    <n v="2"/>
    <n v="50"/>
    <n v="100"/>
    <x v="7"/>
    <x v="3"/>
  </r>
  <r>
    <d v="2023-11-05T00:00:00"/>
    <x v="690"/>
    <x v="1"/>
    <x v="8"/>
    <x v="1"/>
    <n v="3"/>
    <n v="300"/>
    <n v="900"/>
    <x v="0"/>
    <x v="2"/>
  </r>
  <r>
    <d v="2023-04-23T00:00:00"/>
    <x v="691"/>
    <x v="1"/>
    <x v="25"/>
    <x v="1"/>
    <n v="3"/>
    <n v="30"/>
    <n v="90"/>
    <x v="4"/>
    <x v="2"/>
  </r>
  <r>
    <d v="2023-09-07T00:00:00"/>
    <x v="692"/>
    <x v="1"/>
    <x v="12"/>
    <x v="1"/>
    <n v="2"/>
    <n v="50"/>
    <n v="100"/>
    <x v="9"/>
    <x v="6"/>
  </r>
  <r>
    <d v="2023-04-23T00:00:00"/>
    <x v="693"/>
    <x v="0"/>
    <x v="41"/>
    <x v="0"/>
    <n v="3"/>
    <n v="500"/>
    <n v="1500"/>
    <x v="4"/>
    <x v="2"/>
  </r>
  <r>
    <d v="2023-05-20T00:00:00"/>
    <x v="694"/>
    <x v="1"/>
    <x v="23"/>
    <x v="2"/>
    <n v="2"/>
    <n v="25"/>
    <n v="50"/>
    <x v="3"/>
    <x v="3"/>
  </r>
  <r>
    <d v="2023-08-12T00:00:00"/>
    <x v="695"/>
    <x v="1"/>
    <x v="11"/>
    <x v="2"/>
    <n v="3"/>
    <n v="50"/>
    <n v="150"/>
    <x v="8"/>
    <x v="3"/>
  </r>
  <r>
    <d v="2023-09-06T00:00:00"/>
    <x v="696"/>
    <x v="1"/>
    <x v="2"/>
    <x v="1"/>
    <n v="4"/>
    <n v="50"/>
    <n v="200"/>
    <x v="9"/>
    <x v="5"/>
  </r>
  <r>
    <d v="2023-01-15T00:00:00"/>
    <x v="697"/>
    <x v="0"/>
    <x v="45"/>
    <x v="1"/>
    <n v="1"/>
    <n v="500"/>
    <n v="500"/>
    <x v="2"/>
    <x v="2"/>
  </r>
  <r>
    <d v="2023-07-19T00:00:00"/>
    <x v="698"/>
    <x v="1"/>
    <x v="12"/>
    <x v="2"/>
    <n v="1"/>
    <n v="300"/>
    <n v="300"/>
    <x v="11"/>
    <x v="5"/>
  </r>
  <r>
    <d v="2023-06-22T00:00:00"/>
    <x v="699"/>
    <x v="1"/>
    <x v="3"/>
    <x v="1"/>
    <n v="4"/>
    <n v="30"/>
    <n v="120"/>
    <x v="10"/>
    <x v="6"/>
  </r>
  <r>
    <d v="2023-12-09T00:00:00"/>
    <x v="700"/>
    <x v="0"/>
    <x v="32"/>
    <x v="2"/>
    <n v="4"/>
    <n v="500"/>
    <n v="2000"/>
    <x v="6"/>
    <x v="3"/>
  </r>
  <r>
    <d v="2023-12-14T00:00:00"/>
    <x v="701"/>
    <x v="1"/>
    <x v="8"/>
    <x v="0"/>
    <n v="2"/>
    <n v="30"/>
    <n v="60"/>
    <x v="6"/>
    <x v="6"/>
  </r>
  <r>
    <d v="2023-07-27T00:00:00"/>
    <x v="702"/>
    <x v="1"/>
    <x v="43"/>
    <x v="1"/>
    <n v="2"/>
    <n v="300"/>
    <n v="600"/>
    <x v="11"/>
    <x v="6"/>
  </r>
  <r>
    <d v="2023-03-26T00:00:00"/>
    <x v="703"/>
    <x v="0"/>
    <x v="0"/>
    <x v="2"/>
    <n v="2"/>
    <n v="50"/>
    <n v="100"/>
    <x v="5"/>
    <x v="2"/>
  </r>
  <r>
    <d v="2023-08-28T00:00:00"/>
    <x v="704"/>
    <x v="1"/>
    <x v="17"/>
    <x v="1"/>
    <n v="3"/>
    <n v="30"/>
    <n v="90"/>
    <x v="8"/>
    <x v="1"/>
  </r>
  <r>
    <d v="2023-03-07T00:00:00"/>
    <x v="705"/>
    <x v="0"/>
    <x v="43"/>
    <x v="2"/>
    <n v="2"/>
    <n v="25"/>
    <n v="50"/>
    <x v="5"/>
    <x v="4"/>
  </r>
  <r>
    <d v="2023-11-15T00:00:00"/>
    <x v="706"/>
    <x v="0"/>
    <x v="25"/>
    <x v="2"/>
    <n v="4"/>
    <n v="25"/>
    <n v="100"/>
    <x v="0"/>
    <x v="5"/>
  </r>
  <r>
    <d v="2023-10-01T00:00:00"/>
    <x v="707"/>
    <x v="1"/>
    <x v="1"/>
    <x v="1"/>
    <n v="1"/>
    <n v="500"/>
    <n v="500"/>
    <x v="7"/>
    <x v="2"/>
  </r>
  <r>
    <d v="2023-01-14T00:00:00"/>
    <x v="708"/>
    <x v="1"/>
    <x v="22"/>
    <x v="0"/>
    <n v="3"/>
    <n v="300"/>
    <n v="900"/>
    <x v="2"/>
    <x v="3"/>
  </r>
  <r>
    <d v="2023-07-21T00:00:00"/>
    <x v="709"/>
    <x v="1"/>
    <x v="14"/>
    <x v="2"/>
    <n v="2"/>
    <n v="500"/>
    <n v="1000"/>
    <x v="11"/>
    <x v="0"/>
  </r>
  <r>
    <d v="2023-10-31T00:00:00"/>
    <x v="710"/>
    <x v="1"/>
    <x v="1"/>
    <x v="2"/>
    <n v="3"/>
    <n v="500"/>
    <n v="1500"/>
    <x v="7"/>
    <x v="4"/>
  </r>
  <r>
    <d v="2023-10-16T00:00:00"/>
    <x v="711"/>
    <x v="0"/>
    <x v="1"/>
    <x v="2"/>
    <n v="3"/>
    <n v="500"/>
    <n v="1500"/>
    <x v="7"/>
    <x v="1"/>
  </r>
  <r>
    <d v="2023-12-06T00:00:00"/>
    <x v="712"/>
    <x v="1"/>
    <x v="35"/>
    <x v="0"/>
    <n v="2"/>
    <n v="25"/>
    <n v="50"/>
    <x v="6"/>
    <x v="5"/>
  </r>
  <r>
    <d v="2023-01-14T00:00:00"/>
    <x v="713"/>
    <x v="0"/>
    <x v="0"/>
    <x v="0"/>
    <n v="3"/>
    <n v="25"/>
    <n v="75"/>
    <x v="2"/>
    <x v="3"/>
  </r>
  <r>
    <d v="2023-02-12T00:00:00"/>
    <x v="714"/>
    <x v="1"/>
    <x v="18"/>
    <x v="1"/>
    <n v="1"/>
    <n v="500"/>
    <n v="500"/>
    <x v="1"/>
    <x v="2"/>
  </r>
  <r>
    <d v="2023-11-26T00:00:00"/>
    <x v="715"/>
    <x v="1"/>
    <x v="13"/>
    <x v="0"/>
    <n v="4"/>
    <n v="25"/>
    <n v="100"/>
    <x v="0"/>
    <x v="2"/>
  </r>
  <r>
    <d v="2023-08-08T00:00:00"/>
    <x v="716"/>
    <x v="1"/>
    <x v="43"/>
    <x v="1"/>
    <n v="4"/>
    <n v="300"/>
    <n v="1200"/>
    <x v="8"/>
    <x v="4"/>
  </r>
  <r>
    <d v="2023-03-11T00:00:00"/>
    <x v="717"/>
    <x v="0"/>
    <x v="35"/>
    <x v="1"/>
    <n v="1"/>
    <n v="500"/>
    <n v="500"/>
    <x v="5"/>
    <x v="3"/>
  </r>
  <r>
    <d v="2023-08-25T00:00:00"/>
    <x v="718"/>
    <x v="1"/>
    <x v="42"/>
    <x v="0"/>
    <n v="3"/>
    <n v="25"/>
    <n v="75"/>
    <x v="8"/>
    <x v="0"/>
  </r>
  <r>
    <d v="2023-04-04T00:00:00"/>
    <x v="719"/>
    <x v="1"/>
    <x v="13"/>
    <x v="1"/>
    <n v="2"/>
    <n v="30"/>
    <n v="60"/>
    <x v="4"/>
    <x v="4"/>
  </r>
  <r>
    <d v="2023-01-26T00:00:00"/>
    <x v="720"/>
    <x v="1"/>
    <x v="37"/>
    <x v="0"/>
    <n v="3"/>
    <n v="500"/>
    <n v="1500"/>
    <x v="2"/>
    <x v="6"/>
  </r>
  <r>
    <d v="2023-05-14T00:00:00"/>
    <x v="721"/>
    <x v="1"/>
    <x v="8"/>
    <x v="1"/>
    <n v="1"/>
    <n v="500"/>
    <n v="500"/>
    <x v="3"/>
    <x v="2"/>
  </r>
  <r>
    <d v="2023-07-14T00:00:00"/>
    <x v="722"/>
    <x v="0"/>
    <x v="29"/>
    <x v="0"/>
    <n v="3"/>
    <n v="300"/>
    <n v="900"/>
    <x v="11"/>
    <x v="0"/>
  </r>
  <r>
    <d v="2023-06-17T00:00:00"/>
    <x v="723"/>
    <x v="1"/>
    <x v="31"/>
    <x v="0"/>
    <n v="4"/>
    <n v="50"/>
    <n v="200"/>
    <x v="10"/>
    <x v="3"/>
  </r>
  <r>
    <d v="2023-04-19T00:00:00"/>
    <x v="724"/>
    <x v="0"/>
    <x v="39"/>
    <x v="1"/>
    <n v="3"/>
    <n v="50"/>
    <n v="150"/>
    <x v="4"/>
    <x v="5"/>
  </r>
  <r>
    <d v="2023-08-21T00:00:00"/>
    <x v="725"/>
    <x v="0"/>
    <x v="39"/>
    <x v="2"/>
    <n v="1"/>
    <n v="300"/>
    <n v="300"/>
    <x v="8"/>
    <x v="1"/>
  </r>
  <r>
    <d v="2023-06-17T00:00:00"/>
    <x v="726"/>
    <x v="0"/>
    <x v="16"/>
    <x v="1"/>
    <n v="4"/>
    <n v="300"/>
    <n v="1200"/>
    <x v="10"/>
    <x v="3"/>
  </r>
  <r>
    <d v="2023-06-22T00:00:00"/>
    <x v="727"/>
    <x v="0"/>
    <x v="28"/>
    <x v="0"/>
    <n v="3"/>
    <n v="300"/>
    <n v="900"/>
    <x v="10"/>
    <x v="6"/>
  </r>
  <r>
    <d v="2023-07-14T00:00:00"/>
    <x v="728"/>
    <x v="0"/>
    <x v="25"/>
    <x v="2"/>
    <n v="3"/>
    <n v="50"/>
    <n v="150"/>
    <x v="11"/>
    <x v="0"/>
  </r>
  <r>
    <d v="2023-05-23T00:00:00"/>
    <x v="729"/>
    <x v="0"/>
    <x v="38"/>
    <x v="1"/>
    <n v="4"/>
    <n v="300"/>
    <n v="1200"/>
    <x v="3"/>
    <x v="4"/>
  </r>
  <r>
    <d v="2023-08-04T00:00:00"/>
    <x v="730"/>
    <x v="1"/>
    <x v="32"/>
    <x v="1"/>
    <n v="2"/>
    <n v="25"/>
    <n v="50"/>
    <x v="8"/>
    <x v="0"/>
  </r>
  <r>
    <d v="2023-05-10T00:00:00"/>
    <x v="731"/>
    <x v="0"/>
    <x v="31"/>
    <x v="1"/>
    <n v="4"/>
    <n v="500"/>
    <n v="2000"/>
    <x v="3"/>
    <x v="5"/>
  </r>
  <r>
    <d v="2023-02-11T00:00:00"/>
    <x v="732"/>
    <x v="0"/>
    <x v="39"/>
    <x v="2"/>
    <n v="2"/>
    <n v="500"/>
    <n v="1000"/>
    <x v="1"/>
    <x v="3"/>
  </r>
  <r>
    <d v="2023-08-29T00:00:00"/>
    <x v="733"/>
    <x v="0"/>
    <x v="0"/>
    <x v="0"/>
    <n v="1"/>
    <n v="30"/>
    <n v="30"/>
    <x v="8"/>
    <x v="4"/>
  </r>
  <r>
    <d v="2023-01-10T00:00:00"/>
    <x v="734"/>
    <x v="1"/>
    <x v="15"/>
    <x v="1"/>
    <n v="1"/>
    <n v="30"/>
    <n v="30"/>
    <x v="2"/>
    <x v="4"/>
  </r>
  <r>
    <d v="2023-10-04T00:00:00"/>
    <x v="735"/>
    <x v="1"/>
    <x v="12"/>
    <x v="1"/>
    <n v="4"/>
    <n v="500"/>
    <n v="2000"/>
    <x v="7"/>
    <x v="5"/>
  </r>
  <r>
    <d v="2023-01-27T00:00:00"/>
    <x v="736"/>
    <x v="0"/>
    <x v="38"/>
    <x v="1"/>
    <n v="4"/>
    <n v="25"/>
    <n v="100"/>
    <x v="2"/>
    <x v="0"/>
  </r>
  <r>
    <d v="2023-06-29T00:00:00"/>
    <x v="737"/>
    <x v="1"/>
    <x v="44"/>
    <x v="1"/>
    <n v="1"/>
    <n v="50"/>
    <n v="50"/>
    <x v="10"/>
    <x v="6"/>
  </r>
  <r>
    <d v="2023-04-25T00:00:00"/>
    <x v="738"/>
    <x v="0"/>
    <x v="41"/>
    <x v="1"/>
    <n v="2"/>
    <n v="50"/>
    <n v="100"/>
    <x v="4"/>
    <x v="4"/>
  </r>
  <r>
    <d v="2023-11-29T00:00:00"/>
    <x v="739"/>
    <x v="0"/>
    <x v="32"/>
    <x v="0"/>
    <n v="1"/>
    <n v="25"/>
    <n v="25"/>
    <x v="0"/>
    <x v="5"/>
  </r>
  <r>
    <d v="2023-02-05T00:00:00"/>
    <x v="740"/>
    <x v="1"/>
    <x v="36"/>
    <x v="0"/>
    <n v="4"/>
    <n v="50"/>
    <n v="200"/>
    <x v="1"/>
    <x v="2"/>
  </r>
  <r>
    <d v="2023-11-30T00:00:00"/>
    <x v="741"/>
    <x v="0"/>
    <x v="27"/>
    <x v="1"/>
    <n v="1"/>
    <n v="300"/>
    <n v="300"/>
    <x v="0"/>
    <x v="6"/>
  </r>
  <r>
    <d v="2023-01-21T00:00:00"/>
    <x v="742"/>
    <x v="1"/>
    <x v="21"/>
    <x v="2"/>
    <n v="4"/>
    <n v="500"/>
    <n v="2000"/>
    <x v="2"/>
    <x v="3"/>
  </r>
  <r>
    <d v="2023-01-16T00:00:00"/>
    <x v="743"/>
    <x v="1"/>
    <x v="0"/>
    <x v="0"/>
    <n v="4"/>
    <n v="500"/>
    <n v="2000"/>
    <x v="2"/>
    <x v="1"/>
  </r>
  <r>
    <d v="2023-05-07T00:00:00"/>
    <x v="744"/>
    <x v="0"/>
    <x v="30"/>
    <x v="2"/>
    <n v="1"/>
    <n v="25"/>
    <n v="25"/>
    <x v="3"/>
    <x v="2"/>
  </r>
  <r>
    <d v="2023-04-13T00:00:00"/>
    <x v="745"/>
    <x v="0"/>
    <x v="31"/>
    <x v="0"/>
    <n v="2"/>
    <n v="50"/>
    <n v="100"/>
    <x v="4"/>
    <x v="6"/>
  </r>
  <r>
    <d v="2023-01-11T00:00:00"/>
    <x v="746"/>
    <x v="1"/>
    <x v="44"/>
    <x v="1"/>
    <n v="3"/>
    <n v="30"/>
    <n v="90"/>
    <x v="2"/>
    <x v="5"/>
  </r>
  <r>
    <d v="2023-11-15T00:00:00"/>
    <x v="747"/>
    <x v="0"/>
    <x v="9"/>
    <x v="0"/>
    <n v="1"/>
    <n v="30"/>
    <n v="30"/>
    <x v="0"/>
    <x v="5"/>
  </r>
  <r>
    <d v="2023-03-20T00:00:00"/>
    <x v="748"/>
    <x v="0"/>
    <x v="36"/>
    <x v="1"/>
    <n v="3"/>
    <n v="50"/>
    <n v="150"/>
    <x v="5"/>
    <x v="1"/>
  </r>
  <r>
    <d v="2023-05-03T00:00:00"/>
    <x v="749"/>
    <x v="0"/>
    <x v="13"/>
    <x v="0"/>
    <n v="1"/>
    <n v="30"/>
    <n v="30"/>
    <x v="3"/>
    <x v="5"/>
  </r>
  <r>
    <d v="2023-03-06T00:00:00"/>
    <x v="750"/>
    <x v="1"/>
    <x v="10"/>
    <x v="1"/>
    <n v="3"/>
    <n v="25"/>
    <n v="75"/>
    <x v="5"/>
    <x v="1"/>
  </r>
  <r>
    <d v="2023-08-31T00:00:00"/>
    <x v="751"/>
    <x v="1"/>
    <x v="13"/>
    <x v="1"/>
    <n v="2"/>
    <n v="25"/>
    <n v="50"/>
    <x v="8"/>
    <x v="6"/>
  </r>
  <r>
    <d v="2023-12-09T00:00:00"/>
    <x v="752"/>
    <x v="0"/>
    <x v="38"/>
    <x v="1"/>
    <n v="2"/>
    <n v="50"/>
    <n v="100"/>
    <x v="6"/>
    <x v="3"/>
  </r>
  <r>
    <d v="2023-02-28T00:00:00"/>
    <x v="753"/>
    <x v="1"/>
    <x v="40"/>
    <x v="1"/>
    <n v="1"/>
    <n v="30"/>
    <n v="30"/>
    <x v="1"/>
    <x v="4"/>
  </r>
  <r>
    <d v="2023-10-16T00:00:00"/>
    <x v="754"/>
    <x v="1"/>
    <x v="22"/>
    <x v="2"/>
    <n v="4"/>
    <n v="25"/>
    <n v="100"/>
    <x v="7"/>
    <x v="1"/>
  </r>
  <r>
    <d v="2023-04-22T00:00:00"/>
    <x v="755"/>
    <x v="1"/>
    <x v="26"/>
    <x v="1"/>
    <n v="3"/>
    <n v="25"/>
    <n v="75"/>
    <x v="4"/>
    <x v="3"/>
  </r>
  <r>
    <d v="2023-08-27T00:00:00"/>
    <x v="756"/>
    <x v="1"/>
    <x v="17"/>
    <x v="2"/>
    <n v="4"/>
    <n v="300"/>
    <n v="1200"/>
    <x v="8"/>
    <x v="2"/>
  </r>
  <r>
    <d v="2023-12-25T00:00:00"/>
    <x v="757"/>
    <x v="1"/>
    <x v="22"/>
    <x v="2"/>
    <n v="4"/>
    <n v="300"/>
    <n v="1200"/>
    <x v="6"/>
    <x v="1"/>
  </r>
  <r>
    <d v="2023-05-12T00:00:00"/>
    <x v="758"/>
    <x v="0"/>
    <x v="12"/>
    <x v="1"/>
    <n v="4"/>
    <n v="25"/>
    <n v="100"/>
    <x v="3"/>
    <x v="0"/>
  </r>
  <r>
    <d v="2023-07-08T00:00:00"/>
    <x v="759"/>
    <x v="0"/>
    <x v="19"/>
    <x v="2"/>
    <n v="2"/>
    <n v="50"/>
    <n v="100"/>
    <x v="11"/>
    <x v="3"/>
  </r>
  <r>
    <d v="2023-03-27T00:00:00"/>
    <x v="760"/>
    <x v="0"/>
    <x v="15"/>
    <x v="0"/>
    <n v="1"/>
    <n v="500"/>
    <n v="500"/>
    <x v="5"/>
    <x v="1"/>
  </r>
  <r>
    <d v="2023-11-07T00:00:00"/>
    <x v="761"/>
    <x v="1"/>
    <x v="44"/>
    <x v="1"/>
    <n v="1"/>
    <n v="500"/>
    <n v="500"/>
    <x v="0"/>
    <x v="4"/>
  </r>
  <r>
    <d v="2023-11-07T00:00:00"/>
    <x v="762"/>
    <x v="1"/>
    <x v="46"/>
    <x v="2"/>
    <n v="2"/>
    <n v="25"/>
    <n v="50"/>
    <x v="0"/>
    <x v="4"/>
  </r>
  <r>
    <d v="2023-02-28T00:00:00"/>
    <x v="763"/>
    <x v="0"/>
    <x v="0"/>
    <x v="1"/>
    <n v="2"/>
    <n v="25"/>
    <n v="50"/>
    <x v="1"/>
    <x v="4"/>
  </r>
  <r>
    <d v="2023-03-25T00:00:00"/>
    <x v="764"/>
    <x v="1"/>
    <x v="30"/>
    <x v="1"/>
    <n v="1"/>
    <n v="25"/>
    <n v="25"/>
    <x v="5"/>
    <x v="3"/>
  </r>
  <r>
    <d v="2023-06-09T00:00:00"/>
    <x v="765"/>
    <x v="0"/>
    <x v="22"/>
    <x v="1"/>
    <n v="4"/>
    <n v="50"/>
    <n v="200"/>
    <x v="10"/>
    <x v="0"/>
  </r>
  <r>
    <d v="2023-02-25T00:00:00"/>
    <x v="766"/>
    <x v="0"/>
    <x v="21"/>
    <x v="2"/>
    <n v="3"/>
    <n v="300"/>
    <n v="900"/>
    <x v="1"/>
    <x v="3"/>
  </r>
  <r>
    <d v="2023-10-24T00:00:00"/>
    <x v="767"/>
    <x v="0"/>
    <x v="23"/>
    <x v="0"/>
    <n v="3"/>
    <n v="25"/>
    <n v="75"/>
    <x v="7"/>
    <x v="4"/>
  </r>
  <r>
    <d v="2023-01-14T00:00:00"/>
    <x v="768"/>
    <x v="1"/>
    <x v="46"/>
    <x v="0"/>
    <n v="3"/>
    <n v="25"/>
    <n v="75"/>
    <x v="2"/>
    <x v="3"/>
  </r>
  <r>
    <d v="2023-06-09T00:00:00"/>
    <x v="769"/>
    <x v="1"/>
    <x v="33"/>
    <x v="2"/>
    <n v="4"/>
    <n v="30"/>
    <n v="120"/>
    <x v="10"/>
    <x v="0"/>
  </r>
  <r>
    <d v="2023-10-22T00:00:00"/>
    <x v="770"/>
    <x v="0"/>
    <x v="40"/>
    <x v="1"/>
    <n v="1"/>
    <n v="50"/>
    <n v="50"/>
    <x v="7"/>
    <x v="2"/>
  </r>
  <r>
    <d v="2023-12-13T00:00:00"/>
    <x v="771"/>
    <x v="0"/>
    <x v="46"/>
    <x v="2"/>
    <n v="2"/>
    <n v="25"/>
    <n v="50"/>
    <x v="6"/>
    <x v="5"/>
  </r>
  <r>
    <d v="2023-07-12T00:00:00"/>
    <x v="772"/>
    <x v="0"/>
    <x v="1"/>
    <x v="2"/>
    <n v="1"/>
    <n v="30"/>
    <n v="30"/>
    <x v="11"/>
    <x v="5"/>
  </r>
  <r>
    <d v="2023-07-23T00:00:00"/>
    <x v="773"/>
    <x v="0"/>
    <x v="36"/>
    <x v="2"/>
    <n v="4"/>
    <n v="500"/>
    <n v="2000"/>
    <x v="11"/>
    <x v="2"/>
  </r>
  <r>
    <d v="2023-04-12T00:00:00"/>
    <x v="774"/>
    <x v="1"/>
    <x v="30"/>
    <x v="1"/>
    <n v="2"/>
    <n v="25"/>
    <n v="50"/>
    <x v="4"/>
    <x v="5"/>
  </r>
  <r>
    <d v="2023-02-08T00:00:00"/>
    <x v="775"/>
    <x v="1"/>
    <x v="6"/>
    <x v="2"/>
    <n v="4"/>
    <n v="25"/>
    <n v="100"/>
    <x v="1"/>
    <x v="5"/>
  </r>
  <r>
    <d v="2023-10-31T00:00:00"/>
    <x v="776"/>
    <x v="0"/>
    <x v="10"/>
    <x v="1"/>
    <n v="3"/>
    <n v="30"/>
    <n v="90"/>
    <x v="7"/>
    <x v="4"/>
  </r>
  <r>
    <d v="2023-12-20T00:00:00"/>
    <x v="777"/>
    <x v="0"/>
    <x v="27"/>
    <x v="2"/>
    <n v="3"/>
    <n v="50"/>
    <n v="150"/>
    <x v="6"/>
    <x v="5"/>
  </r>
  <r>
    <d v="2023-11-18T00:00:00"/>
    <x v="778"/>
    <x v="1"/>
    <x v="16"/>
    <x v="0"/>
    <n v="4"/>
    <n v="25"/>
    <n v="100"/>
    <x v="0"/>
    <x v="3"/>
  </r>
  <r>
    <d v="2023-05-05T00:00:00"/>
    <x v="779"/>
    <x v="1"/>
    <x v="37"/>
    <x v="2"/>
    <n v="2"/>
    <n v="500"/>
    <n v="1000"/>
    <x v="3"/>
    <x v="0"/>
  </r>
  <r>
    <d v="2023-02-22T00:00:00"/>
    <x v="780"/>
    <x v="0"/>
    <x v="8"/>
    <x v="2"/>
    <n v="2"/>
    <n v="25"/>
    <n v="50"/>
    <x v="1"/>
    <x v="5"/>
  </r>
  <r>
    <d v="2023-12-23T00:00:00"/>
    <x v="781"/>
    <x v="0"/>
    <x v="10"/>
    <x v="0"/>
    <n v="1"/>
    <n v="500"/>
    <n v="500"/>
    <x v="6"/>
    <x v="3"/>
  </r>
  <r>
    <d v="2023-06-04T00:00:00"/>
    <x v="782"/>
    <x v="0"/>
    <x v="42"/>
    <x v="1"/>
    <n v="3"/>
    <n v="300"/>
    <n v="900"/>
    <x v="10"/>
    <x v="2"/>
  </r>
  <r>
    <d v="2023-12-17T00:00:00"/>
    <x v="783"/>
    <x v="1"/>
    <x v="37"/>
    <x v="1"/>
    <n v="1"/>
    <n v="300"/>
    <n v="300"/>
    <x v="6"/>
    <x v="2"/>
  </r>
  <r>
    <d v="2023-11-04T00:00:00"/>
    <x v="784"/>
    <x v="1"/>
    <x v="0"/>
    <x v="2"/>
    <n v="1"/>
    <n v="500"/>
    <n v="500"/>
    <x v="0"/>
    <x v="3"/>
  </r>
  <r>
    <d v="2023-03-03T00:00:00"/>
    <x v="785"/>
    <x v="1"/>
    <x v="33"/>
    <x v="0"/>
    <n v="4"/>
    <n v="50"/>
    <n v="200"/>
    <x v="5"/>
    <x v="0"/>
  </r>
  <r>
    <d v="2023-10-17T00:00:00"/>
    <x v="786"/>
    <x v="0"/>
    <x v="27"/>
    <x v="1"/>
    <n v="4"/>
    <n v="25"/>
    <n v="100"/>
    <x v="7"/>
    <x v="4"/>
  </r>
  <r>
    <d v="2023-01-22T00:00:00"/>
    <x v="787"/>
    <x v="0"/>
    <x v="41"/>
    <x v="2"/>
    <n v="1"/>
    <n v="25"/>
    <n v="25"/>
    <x v="2"/>
    <x v="2"/>
  </r>
  <r>
    <d v="2023-06-27T00:00:00"/>
    <x v="788"/>
    <x v="1"/>
    <x v="8"/>
    <x v="0"/>
    <n v="3"/>
    <n v="300"/>
    <n v="900"/>
    <x v="10"/>
    <x v="4"/>
  </r>
  <r>
    <d v="2023-09-30T00:00:00"/>
    <x v="789"/>
    <x v="1"/>
    <x v="39"/>
    <x v="1"/>
    <n v="4"/>
    <n v="500"/>
    <n v="2000"/>
    <x v="9"/>
    <x v="3"/>
  </r>
  <r>
    <d v="2023-08-08T00:00:00"/>
    <x v="790"/>
    <x v="0"/>
    <x v="17"/>
    <x v="1"/>
    <n v="1"/>
    <n v="25"/>
    <n v="25"/>
    <x v="8"/>
    <x v="4"/>
  </r>
  <r>
    <d v="2023-12-05T00:00:00"/>
    <x v="791"/>
    <x v="1"/>
    <x v="25"/>
    <x v="0"/>
    <n v="1"/>
    <n v="25"/>
    <n v="25"/>
    <x v="6"/>
    <x v="4"/>
  </r>
  <r>
    <d v="2023-07-09T00:00:00"/>
    <x v="792"/>
    <x v="1"/>
    <x v="29"/>
    <x v="0"/>
    <n v="1"/>
    <n v="50"/>
    <n v="50"/>
    <x v="11"/>
    <x v="2"/>
  </r>
  <r>
    <d v="2023-02-05T00:00:00"/>
    <x v="793"/>
    <x v="0"/>
    <x v="31"/>
    <x v="0"/>
    <n v="1"/>
    <n v="30"/>
    <n v="30"/>
    <x v="1"/>
    <x v="2"/>
  </r>
  <r>
    <d v="2023-09-17T00:00:00"/>
    <x v="794"/>
    <x v="1"/>
    <x v="43"/>
    <x v="0"/>
    <n v="1"/>
    <n v="300"/>
    <n v="300"/>
    <x v="9"/>
    <x v="2"/>
  </r>
  <r>
    <d v="2023-11-28T00:00:00"/>
    <x v="795"/>
    <x v="0"/>
    <x v="35"/>
    <x v="2"/>
    <n v="1"/>
    <n v="300"/>
    <n v="300"/>
    <x v="0"/>
    <x v="4"/>
  </r>
  <r>
    <d v="2023-06-24T00:00:00"/>
    <x v="796"/>
    <x v="0"/>
    <x v="22"/>
    <x v="0"/>
    <n v="4"/>
    <n v="30"/>
    <n v="120"/>
    <x v="10"/>
    <x v="3"/>
  </r>
  <r>
    <d v="2023-01-07T00:00:00"/>
    <x v="797"/>
    <x v="0"/>
    <x v="30"/>
    <x v="1"/>
    <n v="3"/>
    <n v="25"/>
    <n v="75"/>
    <x v="2"/>
    <x v="3"/>
  </r>
  <r>
    <d v="2023-08-04T00:00:00"/>
    <x v="798"/>
    <x v="0"/>
    <x v="39"/>
    <x v="1"/>
    <n v="1"/>
    <n v="50"/>
    <n v="50"/>
    <x v="8"/>
    <x v="0"/>
  </r>
  <r>
    <d v="2023-09-08T00:00:00"/>
    <x v="799"/>
    <x v="0"/>
    <x v="37"/>
    <x v="2"/>
    <n v="2"/>
    <n v="50"/>
    <n v="100"/>
    <x v="9"/>
    <x v="0"/>
  </r>
  <r>
    <d v="2023-02-24T00:00:00"/>
    <x v="800"/>
    <x v="0"/>
    <x v="40"/>
    <x v="1"/>
    <n v="4"/>
    <n v="300"/>
    <n v="1200"/>
    <x v="1"/>
    <x v="0"/>
  </r>
  <r>
    <d v="2023-08-10T00:00:00"/>
    <x v="801"/>
    <x v="0"/>
    <x v="34"/>
    <x v="1"/>
    <n v="4"/>
    <n v="50"/>
    <n v="200"/>
    <x v="8"/>
    <x v="6"/>
  </r>
  <r>
    <d v="2023-07-05T00:00:00"/>
    <x v="802"/>
    <x v="1"/>
    <x v="6"/>
    <x v="0"/>
    <n v="1"/>
    <n v="30"/>
    <n v="30"/>
    <x v="11"/>
    <x v="5"/>
  </r>
  <r>
    <d v="2023-11-22T00:00:00"/>
    <x v="803"/>
    <x v="0"/>
    <x v="23"/>
    <x v="1"/>
    <n v="4"/>
    <n v="25"/>
    <n v="100"/>
    <x v="0"/>
    <x v="5"/>
  </r>
  <r>
    <d v="2023-08-24T00:00:00"/>
    <x v="804"/>
    <x v="0"/>
    <x v="13"/>
    <x v="2"/>
    <n v="1"/>
    <n v="30"/>
    <n v="30"/>
    <x v="8"/>
    <x v="6"/>
  </r>
  <r>
    <d v="2023-12-29T00:00:00"/>
    <x v="805"/>
    <x v="1"/>
    <x v="4"/>
    <x v="0"/>
    <n v="3"/>
    <n v="500"/>
    <n v="1500"/>
    <x v="6"/>
    <x v="0"/>
  </r>
  <r>
    <d v="2023-03-20T00:00:00"/>
    <x v="806"/>
    <x v="1"/>
    <x v="10"/>
    <x v="0"/>
    <n v="3"/>
    <n v="300"/>
    <n v="900"/>
    <x v="5"/>
    <x v="1"/>
  </r>
  <r>
    <d v="2023-08-11T00:00:00"/>
    <x v="807"/>
    <x v="1"/>
    <x v="2"/>
    <x v="2"/>
    <n v="4"/>
    <n v="50"/>
    <n v="200"/>
    <x v="8"/>
    <x v="0"/>
  </r>
  <r>
    <d v="2023-04-01T00:00:00"/>
    <x v="808"/>
    <x v="0"/>
    <x v="44"/>
    <x v="0"/>
    <n v="4"/>
    <n v="500"/>
    <n v="2000"/>
    <x v="4"/>
    <x v="3"/>
  </r>
  <r>
    <d v="2023-09-25T00:00:00"/>
    <x v="809"/>
    <x v="1"/>
    <x v="17"/>
    <x v="0"/>
    <n v="2"/>
    <n v="50"/>
    <n v="100"/>
    <x v="9"/>
    <x v="1"/>
  </r>
  <r>
    <d v="2023-11-30T00:00:00"/>
    <x v="810"/>
    <x v="0"/>
    <x v="42"/>
    <x v="2"/>
    <n v="4"/>
    <n v="25"/>
    <n v="100"/>
    <x v="0"/>
    <x v="6"/>
  </r>
  <r>
    <d v="2023-05-19T00:00:00"/>
    <x v="811"/>
    <x v="0"/>
    <x v="39"/>
    <x v="0"/>
    <n v="2"/>
    <n v="25"/>
    <n v="50"/>
    <x v="3"/>
    <x v="0"/>
  </r>
  <r>
    <d v="2023-11-12T00:00:00"/>
    <x v="812"/>
    <x v="0"/>
    <x v="14"/>
    <x v="2"/>
    <n v="3"/>
    <n v="25"/>
    <n v="75"/>
    <x v="0"/>
    <x v="2"/>
  </r>
  <r>
    <d v="2023-10-03T00:00:00"/>
    <x v="813"/>
    <x v="0"/>
    <x v="8"/>
    <x v="2"/>
    <n v="3"/>
    <n v="50"/>
    <n v="150"/>
    <x v="7"/>
    <x v="4"/>
  </r>
  <r>
    <d v="2023-09-05T00:00:00"/>
    <x v="814"/>
    <x v="1"/>
    <x v="42"/>
    <x v="1"/>
    <n v="1"/>
    <n v="500"/>
    <n v="500"/>
    <x v="9"/>
    <x v="4"/>
  </r>
  <r>
    <d v="2023-08-27T00:00:00"/>
    <x v="815"/>
    <x v="1"/>
    <x v="25"/>
    <x v="1"/>
    <n v="3"/>
    <n v="25"/>
    <n v="75"/>
    <x v="8"/>
    <x v="2"/>
  </r>
  <r>
    <d v="2023-08-12T00:00:00"/>
    <x v="816"/>
    <x v="0"/>
    <x v="16"/>
    <x v="0"/>
    <n v="2"/>
    <n v="500"/>
    <n v="1000"/>
    <x v="8"/>
    <x v="3"/>
  </r>
  <r>
    <d v="2023-10-31T00:00:00"/>
    <x v="817"/>
    <x v="0"/>
    <x v="4"/>
    <x v="0"/>
    <n v="4"/>
    <n v="50"/>
    <n v="200"/>
    <x v="7"/>
    <x v="4"/>
  </r>
  <r>
    <d v="2023-05-18T00:00:00"/>
    <x v="818"/>
    <x v="0"/>
    <x v="4"/>
    <x v="2"/>
    <n v="1"/>
    <n v="500"/>
    <n v="500"/>
    <x v="3"/>
    <x v="6"/>
  </r>
  <r>
    <d v="2023-06-15T00:00:00"/>
    <x v="819"/>
    <x v="1"/>
    <x v="10"/>
    <x v="0"/>
    <n v="2"/>
    <n v="50"/>
    <n v="100"/>
    <x v="10"/>
    <x v="6"/>
  </r>
  <r>
    <d v="2023-05-06T00:00:00"/>
    <x v="820"/>
    <x v="0"/>
    <x v="19"/>
    <x v="2"/>
    <n v="4"/>
    <n v="50"/>
    <n v="200"/>
    <x v="3"/>
    <x v="3"/>
  </r>
  <r>
    <d v="2023-02-14T00:00:00"/>
    <x v="821"/>
    <x v="0"/>
    <x v="19"/>
    <x v="2"/>
    <n v="1"/>
    <n v="300"/>
    <n v="300"/>
    <x v="1"/>
    <x v="4"/>
  </r>
  <r>
    <d v="2023-05-23T00:00:00"/>
    <x v="822"/>
    <x v="1"/>
    <x v="8"/>
    <x v="0"/>
    <n v="3"/>
    <n v="50"/>
    <n v="150"/>
    <x v="3"/>
    <x v="4"/>
  </r>
  <r>
    <d v="2023-08-19T00:00:00"/>
    <x v="823"/>
    <x v="1"/>
    <x v="37"/>
    <x v="2"/>
    <n v="2"/>
    <n v="50"/>
    <n v="100"/>
    <x v="8"/>
    <x v="3"/>
  </r>
  <r>
    <d v="2023-05-05T00:00:00"/>
    <x v="824"/>
    <x v="0"/>
    <x v="7"/>
    <x v="1"/>
    <n v="4"/>
    <n v="30"/>
    <n v="120"/>
    <x v="3"/>
    <x v="0"/>
  </r>
  <r>
    <d v="2023-08-26T00:00:00"/>
    <x v="825"/>
    <x v="1"/>
    <x v="6"/>
    <x v="0"/>
    <n v="1"/>
    <n v="25"/>
    <n v="25"/>
    <x v="8"/>
    <x v="3"/>
  </r>
  <r>
    <d v="2023-10-19T00:00:00"/>
    <x v="826"/>
    <x v="1"/>
    <x v="6"/>
    <x v="1"/>
    <n v="1"/>
    <n v="300"/>
    <n v="300"/>
    <x v="7"/>
    <x v="6"/>
  </r>
  <r>
    <d v="2023-11-09T00:00:00"/>
    <x v="827"/>
    <x v="0"/>
    <x v="39"/>
    <x v="0"/>
    <n v="3"/>
    <n v="300"/>
    <n v="900"/>
    <x v="0"/>
    <x v="6"/>
  </r>
  <r>
    <d v="2023-12-09T00:00:00"/>
    <x v="828"/>
    <x v="1"/>
    <x v="44"/>
    <x v="2"/>
    <n v="4"/>
    <n v="300"/>
    <n v="1200"/>
    <x v="6"/>
    <x v="3"/>
  </r>
  <r>
    <d v="2023-07-14T00:00:00"/>
    <x v="829"/>
    <x v="0"/>
    <x v="39"/>
    <x v="0"/>
    <n v="3"/>
    <n v="30"/>
    <n v="90"/>
    <x v="11"/>
    <x v="0"/>
  </r>
  <r>
    <d v="2023-06-22T00:00:00"/>
    <x v="830"/>
    <x v="1"/>
    <x v="12"/>
    <x v="1"/>
    <n v="3"/>
    <n v="50"/>
    <n v="150"/>
    <x v="10"/>
    <x v="6"/>
  </r>
  <r>
    <d v="2023-01-15T00:00:00"/>
    <x v="831"/>
    <x v="0"/>
    <x v="15"/>
    <x v="2"/>
    <n v="4"/>
    <n v="25"/>
    <n v="100"/>
    <x v="2"/>
    <x v="2"/>
  </r>
  <r>
    <d v="2023-09-11T00:00:00"/>
    <x v="832"/>
    <x v="0"/>
    <x v="16"/>
    <x v="0"/>
    <n v="4"/>
    <n v="500"/>
    <n v="2000"/>
    <x v="9"/>
    <x v="1"/>
  </r>
  <r>
    <d v="2023-06-16T00:00:00"/>
    <x v="833"/>
    <x v="0"/>
    <x v="13"/>
    <x v="0"/>
    <n v="4"/>
    <n v="50"/>
    <n v="200"/>
    <x v="10"/>
    <x v="0"/>
  </r>
  <r>
    <d v="2023-04-04T00:00:00"/>
    <x v="834"/>
    <x v="1"/>
    <x v="37"/>
    <x v="0"/>
    <n v="2"/>
    <n v="30"/>
    <n v="60"/>
    <x v="4"/>
    <x v="4"/>
  </r>
  <r>
    <d v="2023-09-07T00:00:00"/>
    <x v="835"/>
    <x v="0"/>
    <x v="3"/>
    <x v="1"/>
    <n v="4"/>
    <n v="50"/>
    <n v="200"/>
    <x v="9"/>
    <x v="6"/>
  </r>
  <r>
    <d v="2023-04-19T00:00:00"/>
    <x v="836"/>
    <x v="1"/>
    <x v="11"/>
    <x v="1"/>
    <n v="1"/>
    <n v="50"/>
    <n v="50"/>
    <x v="4"/>
    <x v="5"/>
  </r>
  <r>
    <d v="2023-07-01T00:00:00"/>
    <x v="837"/>
    <x v="0"/>
    <x v="18"/>
    <x v="0"/>
    <n v="3"/>
    <n v="30"/>
    <n v="90"/>
    <x v="11"/>
    <x v="3"/>
  </r>
  <r>
    <d v="2023-05-13T00:00:00"/>
    <x v="838"/>
    <x v="0"/>
    <x v="16"/>
    <x v="2"/>
    <n v="2"/>
    <n v="300"/>
    <n v="600"/>
    <x v="3"/>
    <x v="3"/>
  </r>
  <r>
    <d v="2023-06-24T00:00:00"/>
    <x v="839"/>
    <x v="1"/>
    <x v="29"/>
    <x v="2"/>
    <n v="4"/>
    <n v="300"/>
    <n v="1200"/>
    <x v="10"/>
    <x v="3"/>
  </r>
  <r>
    <d v="2023-05-24T00:00:00"/>
    <x v="840"/>
    <x v="0"/>
    <x v="17"/>
    <x v="1"/>
    <n v="2"/>
    <n v="25"/>
    <n v="50"/>
    <x v="3"/>
    <x v="5"/>
  </r>
  <r>
    <d v="2023-11-02T00:00:00"/>
    <x v="841"/>
    <x v="0"/>
    <x v="33"/>
    <x v="2"/>
    <n v="4"/>
    <n v="25"/>
    <n v="100"/>
    <x v="0"/>
    <x v="6"/>
  </r>
  <r>
    <d v="2023-12-26T00:00:00"/>
    <x v="842"/>
    <x v="1"/>
    <x v="16"/>
    <x v="1"/>
    <n v="2"/>
    <n v="300"/>
    <n v="600"/>
    <x v="6"/>
    <x v="4"/>
  </r>
  <r>
    <d v="2023-05-22T00:00:00"/>
    <x v="843"/>
    <x v="0"/>
    <x v="34"/>
    <x v="0"/>
    <n v="3"/>
    <n v="500"/>
    <n v="1500"/>
    <x v="3"/>
    <x v="1"/>
  </r>
  <r>
    <d v="2023-10-12T00:00:00"/>
    <x v="844"/>
    <x v="0"/>
    <x v="10"/>
    <x v="1"/>
    <n v="3"/>
    <n v="50"/>
    <n v="150"/>
    <x v="7"/>
    <x v="6"/>
  </r>
  <r>
    <d v="2023-01-06T00:00:00"/>
    <x v="845"/>
    <x v="0"/>
    <x v="31"/>
    <x v="1"/>
    <n v="1"/>
    <n v="500"/>
    <n v="500"/>
    <x v="2"/>
    <x v="0"/>
  </r>
  <r>
    <d v="2023-09-22T00:00:00"/>
    <x v="846"/>
    <x v="0"/>
    <x v="13"/>
    <x v="0"/>
    <n v="1"/>
    <n v="50"/>
    <n v="50"/>
    <x v="9"/>
    <x v="0"/>
  </r>
  <r>
    <d v="2023-04-08T00:00:00"/>
    <x v="847"/>
    <x v="1"/>
    <x v="18"/>
    <x v="2"/>
    <n v="4"/>
    <n v="300"/>
    <n v="1200"/>
    <x v="4"/>
    <x v="3"/>
  </r>
  <r>
    <d v="2023-02-13T00:00:00"/>
    <x v="848"/>
    <x v="1"/>
    <x v="7"/>
    <x v="1"/>
    <n v="3"/>
    <n v="25"/>
    <n v="75"/>
    <x v="1"/>
    <x v="1"/>
  </r>
  <r>
    <d v="2023-05-04T00:00:00"/>
    <x v="849"/>
    <x v="0"/>
    <x v="40"/>
    <x v="1"/>
    <n v="2"/>
    <n v="25"/>
    <n v="50"/>
    <x v="3"/>
    <x v="6"/>
  </r>
  <r>
    <d v="2023-07-28T00:00:00"/>
    <x v="850"/>
    <x v="1"/>
    <x v="1"/>
    <x v="0"/>
    <n v="2"/>
    <n v="500"/>
    <n v="1000"/>
    <x v="11"/>
    <x v="0"/>
  </r>
  <r>
    <d v="2023-09-08T00:00:00"/>
    <x v="851"/>
    <x v="0"/>
    <x v="40"/>
    <x v="2"/>
    <n v="2"/>
    <n v="25"/>
    <n v="50"/>
    <x v="9"/>
    <x v="0"/>
  </r>
  <r>
    <d v="2023-10-12T00:00:00"/>
    <x v="852"/>
    <x v="1"/>
    <x v="41"/>
    <x v="1"/>
    <n v="1"/>
    <n v="300"/>
    <n v="300"/>
    <x v="7"/>
    <x v="6"/>
  </r>
  <r>
    <d v="2023-05-04T00:00:00"/>
    <x v="853"/>
    <x v="0"/>
    <x v="34"/>
    <x v="0"/>
    <n v="2"/>
    <n v="500"/>
    <n v="1000"/>
    <x v="3"/>
    <x v="6"/>
  </r>
  <r>
    <d v="2023-12-20T00:00:00"/>
    <x v="854"/>
    <x v="0"/>
    <x v="38"/>
    <x v="1"/>
    <n v="1"/>
    <n v="50"/>
    <n v="50"/>
    <x v="6"/>
    <x v="5"/>
  </r>
  <r>
    <d v="2023-09-01T00:00:00"/>
    <x v="855"/>
    <x v="0"/>
    <x v="31"/>
    <x v="0"/>
    <n v="1"/>
    <n v="25"/>
    <n v="25"/>
    <x v="9"/>
    <x v="0"/>
  </r>
  <r>
    <d v="2023-11-27T00:00:00"/>
    <x v="856"/>
    <x v="0"/>
    <x v="31"/>
    <x v="2"/>
    <n v="4"/>
    <n v="30"/>
    <n v="120"/>
    <x v="0"/>
    <x v="1"/>
  </r>
  <r>
    <d v="2023-12-31T00:00:00"/>
    <x v="857"/>
    <x v="0"/>
    <x v="43"/>
    <x v="2"/>
    <n v="2"/>
    <n v="25"/>
    <n v="50"/>
    <x v="6"/>
    <x v="2"/>
  </r>
  <r>
    <d v="2023-09-09T00:00:00"/>
    <x v="858"/>
    <x v="0"/>
    <x v="9"/>
    <x v="2"/>
    <n v="2"/>
    <n v="50"/>
    <n v="100"/>
    <x v="9"/>
    <x v="3"/>
  </r>
  <r>
    <d v="2023-08-18T00:00:00"/>
    <x v="859"/>
    <x v="1"/>
    <x v="37"/>
    <x v="2"/>
    <n v="3"/>
    <n v="500"/>
    <n v="1500"/>
    <x v="8"/>
    <x v="0"/>
  </r>
  <r>
    <d v="2023-01-09T00:00:00"/>
    <x v="860"/>
    <x v="0"/>
    <x v="7"/>
    <x v="1"/>
    <n v="4"/>
    <n v="50"/>
    <n v="200"/>
    <x v="2"/>
    <x v="1"/>
  </r>
  <r>
    <d v="2023-02-17T00:00:00"/>
    <x v="861"/>
    <x v="1"/>
    <x v="41"/>
    <x v="1"/>
    <n v="3"/>
    <n v="30"/>
    <n v="90"/>
    <x v="1"/>
    <x v="0"/>
  </r>
  <r>
    <d v="2023-05-31T00:00:00"/>
    <x v="862"/>
    <x v="0"/>
    <x v="20"/>
    <x v="2"/>
    <n v="4"/>
    <n v="300"/>
    <n v="1200"/>
    <x v="3"/>
    <x v="5"/>
  </r>
  <r>
    <d v="2023-04-24T00:00:00"/>
    <x v="863"/>
    <x v="1"/>
    <x v="4"/>
    <x v="2"/>
    <n v="2"/>
    <n v="25"/>
    <n v="50"/>
    <x v="4"/>
    <x v="1"/>
  </r>
  <r>
    <d v="2023-07-27T00:00:00"/>
    <x v="864"/>
    <x v="1"/>
    <x v="25"/>
    <x v="2"/>
    <n v="1"/>
    <n v="500"/>
    <n v="500"/>
    <x v="11"/>
    <x v="6"/>
  </r>
  <r>
    <d v="2023-12-21T00:00:00"/>
    <x v="865"/>
    <x v="1"/>
    <x v="13"/>
    <x v="1"/>
    <n v="1"/>
    <n v="300"/>
    <n v="300"/>
    <x v="6"/>
    <x v="6"/>
  </r>
  <r>
    <d v="2023-05-05T00:00:00"/>
    <x v="866"/>
    <x v="0"/>
    <x v="46"/>
    <x v="2"/>
    <n v="1"/>
    <n v="50"/>
    <n v="50"/>
    <x v="3"/>
    <x v="0"/>
  </r>
  <r>
    <d v="2023-06-06T00:00:00"/>
    <x v="867"/>
    <x v="0"/>
    <x v="34"/>
    <x v="2"/>
    <n v="1"/>
    <n v="500"/>
    <n v="500"/>
    <x v="10"/>
    <x v="4"/>
  </r>
  <r>
    <d v="2023-12-06T00:00:00"/>
    <x v="868"/>
    <x v="1"/>
    <x v="36"/>
    <x v="2"/>
    <n v="1"/>
    <n v="300"/>
    <n v="300"/>
    <x v="6"/>
    <x v="5"/>
  </r>
  <r>
    <d v="2023-10-25T00:00:00"/>
    <x v="869"/>
    <x v="0"/>
    <x v="3"/>
    <x v="0"/>
    <n v="3"/>
    <n v="500"/>
    <n v="1500"/>
    <x v="7"/>
    <x v="5"/>
  </r>
  <r>
    <d v="2023-07-08T00:00:00"/>
    <x v="870"/>
    <x v="1"/>
    <x v="6"/>
    <x v="2"/>
    <n v="4"/>
    <n v="30"/>
    <n v="120"/>
    <x v="11"/>
    <x v="3"/>
  </r>
  <r>
    <d v="2023-08-31T00:00:00"/>
    <x v="871"/>
    <x v="0"/>
    <x v="17"/>
    <x v="0"/>
    <n v="2"/>
    <n v="30"/>
    <n v="60"/>
    <x v="8"/>
    <x v="6"/>
  </r>
  <r>
    <d v="2023-10-11T00:00:00"/>
    <x v="872"/>
    <x v="1"/>
    <x v="7"/>
    <x v="0"/>
    <n v="3"/>
    <n v="25"/>
    <n v="75"/>
    <x v="7"/>
    <x v="5"/>
  </r>
  <r>
    <d v="2023-09-29T00:00:00"/>
    <x v="873"/>
    <x v="1"/>
    <x v="15"/>
    <x v="2"/>
    <n v="4"/>
    <n v="25"/>
    <n v="100"/>
    <x v="9"/>
    <x v="0"/>
  </r>
  <r>
    <d v="2023-06-26T00:00:00"/>
    <x v="874"/>
    <x v="0"/>
    <x v="43"/>
    <x v="0"/>
    <n v="1"/>
    <n v="30"/>
    <n v="30"/>
    <x v="10"/>
    <x v="1"/>
  </r>
  <r>
    <d v="2023-08-06T00:00:00"/>
    <x v="875"/>
    <x v="1"/>
    <x v="25"/>
    <x v="2"/>
    <n v="4"/>
    <n v="500"/>
    <n v="2000"/>
    <x v="8"/>
    <x v="2"/>
  </r>
  <r>
    <d v="2023-10-09T00:00:00"/>
    <x v="876"/>
    <x v="0"/>
    <x v="22"/>
    <x v="1"/>
    <n v="4"/>
    <n v="30"/>
    <n v="120"/>
    <x v="7"/>
    <x v="1"/>
  </r>
  <r>
    <d v="2023-06-19T00:00:00"/>
    <x v="877"/>
    <x v="1"/>
    <x v="26"/>
    <x v="1"/>
    <n v="1"/>
    <n v="25"/>
    <n v="25"/>
    <x v="10"/>
    <x v="1"/>
  </r>
  <r>
    <d v="2023-06-30T00:00:00"/>
    <x v="878"/>
    <x v="1"/>
    <x v="29"/>
    <x v="1"/>
    <n v="1"/>
    <n v="30"/>
    <n v="30"/>
    <x v="10"/>
    <x v="0"/>
  </r>
  <r>
    <d v="2023-12-26T00:00:00"/>
    <x v="879"/>
    <x v="0"/>
    <x v="9"/>
    <x v="1"/>
    <n v="1"/>
    <n v="30"/>
    <n v="30"/>
    <x v="6"/>
    <x v="4"/>
  </r>
  <r>
    <d v="2023-08-21T00:00:00"/>
    <x v="880"/>
    <x v="0"/>
    <x v="11"/>
    <x v="0"/>
    <n v="2"/>
    <n v="500"/>
    <n v="1000"/>
    <x v="8"/>
    <x v="1"/>
  </r>
  <r>
    <d v="2023-05-19T00:00:00"/>
    <x v="881"/>
    <x v="0"/>
    <x v="11"/>
    <x v="2"/>
    <n v="1"/>
    <n v="300"/>
    <n v="300"/>
    <x v="3"/>
    <x v="0"/>
  </r>
  <r>
    <d v="2023-06-06T00:00:00"/>
    <x v="882"/>
    <x v="1"/>
    <x v="12"/>
    <x v="2"/>
    <n v="2"/>
    <n v="25"/>
    <n v="50"/>
    <x v="10"/>
    <x v="4"/>
  </r>
  <r>
    <d v="2023-05-09T00:00:00"/>
    <x v="883"/>
    <x v="0"/>
    <x v="30"/>
    <x v="2"/>
    <n v="1"/>
    <n v="500"/>
    <n v="500"/>
    <x v="3"/>
    <x v="4"/>
  </r>
  <r>
    <d v="2023-04-29T00:00:00"/>
    <x v="884"/>
    <x v="1"/>
    <x v="1"/>
    <x v="1"/>
    <n v="2"/>
    <n v="30"/>
    <n v="60"/>
    <x v="4"/>
    <x v="3"/>
  </r>
  <r>
    <d v="2023-03-03T00:00:00"/>
    <x v="885"/>
    <x v="1"/>
    <x v="8"/>
    <x v="1"/>
    <n v="4"/>
    <n v="30"/>
    <n v="120"/>
    <x v="5"/>
    <x v="0"/>
  </r>
  <r>
    <d v="2023-04-09T00:00:00"/>
    <x v="886"/>
    <x v="0"/>
    <x v="3"/>
    <x v="2"/>
    <n v="3"/>
    <n v="300"/>
    <n v="900"/>
    <x v="4"/>
    <x v="2"/>
  </r>
  <r>
    <d v="2023-06-11T00:00:00"/>
    <x v="887"/>
    <x v="0"/>
    <x v="42"/>
    <x v="1"/>
    <n v="4"/>
    <n v="25"/>
    <n v="100"/>
    <x v="10"/>
    <x v="2"/>
  </r>
  <r>
    <d v="2023-03-03T00:00:00"/>
    <x v="888"/>
    <x v="1"/>
    <x v="8"/>
    <x v="2"/>
    <n v="4"/>
    <n v="25"/>
    <n v="100"/>
    <x v="5"/>
    <x v="0"/>
  </r>
  <r>
    <d v="2023-10-02T00:00:00"/>
    <x v="889"/>
    <x v="1"/>
    <x v="10"/>
    <x v="2"/>
    <n v="1"/>
    <n v="50"/>
    <n v="50"/>
    <x v="7"/>
    <x v="1"/>
  </r>
  <r>
    <d v="2023-12-20T00:00:00"/>
    <x v="890"/>
    <x v="0"/>
    <x v="0"/>
    <x v="2"/>
    <n v="2"/>
    <n v="25"/>
    <n v="50"/>
    <x v="6"/>
    <x v="5"/>
  </r>
  <r>
    <d v="2023-04-05T00:00:00"/>
    <x v="891"/>
    <x v="0"/>
    <x v="41"/>
    <x v="2"/>
    <n v="3"/>
    <n v="300"/>
    <n v="900"/>
    <x v="4"/>
    <x v="5"/>
  </r>
  <r>
    <d v="2023-04-09T00:00:00"/>
    <x v="892"/>
    <x v="0"/>
    <x v="29"/>
    <x v="2"/>
    <n v="1"/>
    <n v="50"/>
    <n v="50"/>
    <x v="4"/>
    <x v="2"/>
  </r>
  <r>
    <d v="2023-04-21T00:00:00"/>
    <x v="893"/>
    <x v="0"/>
    <x v="19"/>
    <x v="2"/>
    <n v="1"/>
    <n v="50"/>
    <n v="50"/>
    <x v="4"/>
    <x v="0"/>
  </r>
  <r>
    <d v="2023-09-05T00:00:00"/>
    <x v="894"/>
    <x v="0"/>
    <x v="8"/>
    <x v="2"/>
    <n v="1"/>
    <n v="30"/>
    <n v="30"/>
    <x v="9"/>
    <x v="4"/>
  </r>
  <r>
    <d v="2023-05-22T00:00:00"/>
    <x v="895"/>
    <x v="1"/>
    <x v="28"/>
    <x v="1"/>
    <n v="4"/>
    <n v="30"/>
    <n v="120"/>
    <x v="3"/>
    <x v="1"/>
  </r>
  <r>
    <d v="2023-10-29T00:00:00"/>
    <x v="896"/>
    <x v="1"/>
    <x v="4"/>
    <x v="2"/>
    <n v="2"/>
    <n v="25"/>
    <n v="50"/>
    <x v="7"/>
    <x v="2"/>
  </r>
  <r>
    <d v="2023-09-26T00:00:00"/>
    <x v="897"/>
    <x v="1"/>
    <x v="12"/>
    <x v="2"/>
    <n v="2"/>
    <n v="50"/>
    <n v="100"/>
    <x v="9"/>
    <x v="4"/>
  </r>
  <r>
    <d v="2023-11-02T00:00:00"/>
    <x v="898"/>
    <x v="1"/>
    <x v="13"/>
    <x v="1"/>
    <n v="3"/>
    <n v="30"/>
    <n v="90"/>
    <x v="0"/>
    <x v="6"/>
  </r>
  <r>
    <d v="2023-05-25T00:00:00"/>
    <x v="899"/>
    <x v="0"/>
    <x v="1"/>
    <x v="1"/>
    <n v="2"/>
    <n v="300"/>
    <n v="600"/>
    <x v="3"/>
    <x v="6"/>
  </r>
  <r>
    <d v="2023-02-21T00:00:00"/>
    <x v="900"/>
    <x v="0"/>
    <x v="34"/>
    <x v="1"/>
    <n v="2"/>
    <n v="30"/>
    <n v="60"/>
    <x v="1"/>
    <x v="4"/>
  </r>
  <r>
    <d v="2023-04-10T00:00:00"/>
    <x v="901"/>
    <x v="0"/>
    <x v="33"/>
    <x v="2"/>
    <n v="1"/>
    <n v="30"/>
    <n v="30"/>
    <x v="4"/>
    <x v="1"/>
  </r>
  <r>
    <d v="2023-06-01T00:00:00"/>
    <x v="902"/>
    <x v="1"/>
    <x v="31"/>
    <x v="0"/>
    <n v="1"/>
    <n v="50"/>
    <n v="50"/>
    <x v="10"/>
    <x v="6"/>
  </r>
  <r>
    <d v="2023-04-27T00:00:00"/>
    <x v="903"/>
    <x v="1"/>
    <x v="25"/>
    <x v="0"/>
    <n v="4"/>
    <n v="50"/>
    <n v="200"/>
    <x v="4"/>
    <x v="6"/>
  </r>
  <r>
    <d v="2023-07-04T00:00:00"/>
    <x v="904"/>
    <x v="0"/>
    <x v="20"/>
    <x v="1"/>
    <n v="1"/>
    <n v="500"/>
    <n v="500"/>
    <x v="11"/>
    <x v="4"/>
  </r>
  <r>
    <d v="2023-04-02T00:00:00"/>
    <x v="905"/>
    <x v="0"/>
    <x v="26"/>
    <x v="0"/>
    <n v="1"/>
    <n v="300"/>
    <n v="300"/>
    <x v="4"/>
    <x v="2"/>
  </r>
  <r>
    <d v="2023-06-04T00:00:00"/>
    <x v="906"/>
    <x v="1"/>
    <x v="29"/>
    <x v="1"/>
    <n v="1"/>
    <n v="50"/>
    <n v="50"/>
    <x v="10"/>
    <x v="2"/>
  </r>
  <r>
    <d v="2023-01-08T00:00:00"/>
    <x v="907"/>
    <x v="1"/>
    <x v="5"/>
    <x v="2"/>
    <n v="1"/>
    <n v="25"/>
    <n v="25"/>
    <x v="2"/>
    <x v="2"/>
  </r>
  <r>
    <d v="2023-12-29T00:00:00"/>
    <x v="908"/>
    <x v="0"/>
    <x v="6"/>
    <x v="0"/>
    <n v="4"/>
    <n v="300"/>
    <n v="1200"/>
    <x v="6"/>
    <x v="0"/>
  </r>
  <r>
    <d v="2023-10-01T00:00:00"/>
    <x v="909"/>
    <x v="0"/>
    <x v="1"/>
    <x v="2"/>
    <n v="1"/>
    <n v="300"/>
    <n v="300"/>
    <x v="7"/>
    <x v="2"/>
  </r>
  <r>
    <d v="2023-03-06T00:00:00"/>
    <x v="910"/>
    <x v="1"/>
    <x v="29"/>
    <x v="0"/>
    <n v="3"/>
    <n v="50"/>
    <n v="150"/>
    <x v="5"/>
    <x v="1"/>
  </r>
  <r>
    <d v="2023-05-21T00:00:00"/>
    <x v="911"/>
    <x v="0"/>
    <x v="13"/>
    <x v="2"/>
    <n v="3"/>
    <n v="300"/>
    <n v="900"/>
    <x v="3"/>
    <x v="2"/>
  </r>
  <r>
    <d v="2023-01-24T00:00:00"/>
    <x v="912"/>
    <x v="0"/>
    <x v="25"/>
    <x v="0"/>
    <n v="3"/>
    <n v="50"/>
    <n v="150"/>
    <x v="2"/>
    <x v="4"/>
  </r>
  <r>
    <d v="2023-01-28T00:00:00"/>
    <x v="913"/>
    <x v="0"/>
    <x v="38"/>
    <x v="2"/>
    <n v="3"/>
    <n v="30"/>
    <n v="90"/>
    <x v="2"/>
    <x v="3"/>
  </r>
  <r>
    <d v="2023-10-11T00:00:00"/>
    <x v="914"/>
    <x v="1"/>
    <x v="42"/>
    <x v="2"/>
    <n v="1"/>
    <n v="500"/>
    <n v="500"/>
    <x v="7"/>
    <x v="5"/>
  </r>
  <r>
    <d v="2023-05-30T00:00:00"/>
    <x v="915"/>
    <x v="1"/>
    <x v="1"/>
    <x v="0"/>
    <n v="3"/>
    <n v="30"/>
    <n v="90"/>
    <x v="3"/>
    <x v="4"/>
  </r>
  <r>
    <d v="2023-12-24T00:00:00"/>
    <x v="916"/>
    <x v="1"/>
    <x v="40"/>
    <x v="2"/>
    <n v="1"/>
    <n v="50"/>
    <n v="50"/>
    <x v="6"/>
    <x v="2"/>
  </r>
  <r>
    <d v="2023-03-06T00:00:00"/>
    <x v="917"/>
    <x v="1"/>
    <x v="35"/>
    <x v="2"/>
    <n v="4"/>
    <n v="50"/>
    <n v="200"/>
    <x v="5"/>
    <x v="1"/>
  </r>
  <r>
    <d v="2023-11-23T00:00:00"/>
    <x v="918"/>
    <x v="1"/>
    <x v="13"/>
    <x v="2"/>
    <n v="3"/>
    <n v="30"/>
    <n v="90"/>
    <x v="0"/>
    <x v="6"/>
  </r>
  <r>
    <d v="2023-09-09T00:00:00"/>
    <x v="919"/>
    <x v="1"/>
    <x v="11"/>
    <x v="0"/>
    <n v="2"/>
    <n v="25"/>
    <n v="50"/>
    <x v="9"/>
    <x v="3"/>
  </r>
  <r>
    <d v="2023-02-22T00:00:00"/>
    <x v="920"/>
    <x v="1"/>
    <x v="20"/>
    <x v="0"/>
    <n v="3"/>
    <n v="25"/>
    <n v="75"/>
    <x v="1"/>
    <x v="5"/>
  </r>
  <r>
    <d v="2023-01-07T00:00:00"/>
    <x v="921"/>
    <x v="0"/>
    <x v="25"/>
    <x v="2"/>
    <n v="3"/>
    <n v="25"/>
    <n v="75"/>
    <x v="2"/>
    <x v="3"/>
  </r>
  <r>
    <d v="2023-10-21T00:00:00"/>
    <x v="922"/>
    <x v="0"/>
    <x v="41"/>
    <x v="2"/>
    <n v="1"/>
    <n v="50"/>
    <n v="50"/>
    <x v="7"/>
    <x v="3"/>
  </r>
  <r>
    <d v="2023-05-26T00:00:00"/>
    <x v="923"/>
    <x v="0"/>
    <x v="40"/>
    <x v="0"/>
    <n v="3"/>
    <n v="300"/>
    <n v="900"/>
    <x v="3"/>
    <x v="0"/>
  </r>
  <r>
    <d v="2023-08-29T00:00:00"/>
    <x v="924"/>
    <x v="0"/>
    <x v="28"/>
    <x v="0"/>
    <n v="2"/>
    <n v="50"/>
    <n v="100"/>
    <x v="8"/>
    <x v="4"/>
  </r>
  <r>
    <d v="2023-09-03T00:00:00"/>
    <x v="925"/>
    <x v="0"/>
    <x v="36"/>
    <x v="2"/>
    <n v="1"/>
    <n v="300"/>
    <n v="300"/>
    <x v="9"/>
    <x v="2"/>
  </r>
  <r>
    <d v="2023-08-14T00:00:00"/>
    <x v="926"/>
    <x v="0"/>
    <x v="11"/>
    <x v="2"/>
    <n v="1"/>
    <n v="30"/>
    <n v="30"/>
    <x v="8"/>
    <x v="1"/>
  </r>
  <r>
    <d v="2023-06-24T00:00:00"/>
    <x v="927"/>
    <x v="0"/>
    <x v="22"/>
    <x v="2"/>
    <n v="4"/>
    <n v="500"/>
    <n v="2000"/>
    <x v="10"/>
    <x v="3"/>
  </r>
  <r>
    <d v="2023-04-05T00:00:00"/>
    <x v="928"/>
    <x v="1"/>
    <x v="10"/>
    <x v="1"/>
    <n v="4"/>
    <n v="300"/>
    <n v="1200"/>
    <x v="4"/>
    <x v="5"/>
  </r>
  <r>
    <d v="2023-01-27T00:00:00"/>
    <x v="929"/>
    <x v="1"/>
    <x v="9"/>
    <x v="0"/>
    <n v="3"/>
    <n v="25"/>
    <n v="75"/>
    <x v="2"/>
    <x v="0"/>
  </r>
  <r>
    <d v="2023-05-10T00:00:00"/>
    <x v="930"/>
    <x v="0"/>
    <x v="31"/>
    <x v="1"/>
    <n v="4"/>
    <n v="50"/>
    <n v="200"/>
    <x v="3"/>
    <x v="5"/>
  </r>
  <r>
    <d v="2023-09-02T00:00:00"/>
    <x v="931"/>
    <x v="0"/>
    <x v="4"/>
    <x v="0"/>
    <n v="4"/>
    <n v="30"/>
    <n v="120"/>
    <x v="9"/>
    <x v="3"/>
  </r>
  <r>
    <d v="2023-02-28T00:00:00"/>
    <x v="932"/>
    <x v="1"/>
    <x v="5"/>
    <x v="0"/>
    <n v="4"/>
    <n v="25"/>
    <n v="100"/>
    <x v="1"/>
    <x v="4"/>
  </r>
  <r>
    <d v="2023-02-03T00:00:00"/>
    <x v="933"/>
    <x v="0"/>
    <x v="11"/>
    <x v="0"/>
    <n v="1"/>
    <n v="30"/>
    <n v="30"/>
    <x v="1"/>
    <x v="0"/>
  </r>
  <r>
    <d v="2023-07-25T00:00:00"/>
    <x v="934"/>
    <x v="0"/>
    <x v="4"/>
    <x v="0"/>
    <n v="1"/>
    <n v="500"/>
    <n v="500"/>
    <x v="11"/>
    <x v="4"/>
  </r>
  <r>
    <d v="2023-09-09T00:00:00"/>
    <x v="935"/>
    <x v="1"/>
    <x v="0"/>
    <x v="0"/>
    <n v="1"/>
    <n v="50"/>
    <n v="50"/>
    <x v="9"/>
    <x v="3"/>
  </r>
  <r>
    <d v="2023-02-07T00:00:00"/>
    <x v="936"/>
    <x v="0"/>
    <x v="35"/>
    <x v="0"/>
    <n v="4"/>
    <n v="50"/>
    <n v="200"/>
    <x v="1"/>
    <x v="4"/>
  </r>
  <r>
    <d v="2023-10-23T00:00:00"/>
    <x v="937"/>
    <x v="1"/>
    <x v="17"/>
    <x v="0"/>
    <n v="1"/>
    <n v="500"/>
    <n v="500"/>
    <x v="7"/>
    <x v="1"/>
  </r>
  <r>
    <d v="2023-11-19T00:00:00"/>
    <x v="938"/>
    <x v="0"/>
    <x v="19"/>
    <x v="1"/>
    <n v="4"/>
    <n v="50"/>
    <n v="200"/>
    <x v="0"/>
    <x v="2"/>
  </r>
  <r>
    <d v="2023-12-18T00:00:00"/>
    <x v="939"/>
    <x v="1"/>
    <x v="6"/>
    <x v="2"/>
    <n v="1"/>
    <n v="300"/>
    <n v="300"/>
    <x v="6"/>
    <x v="1"/>
  </r>
  <r>
    <d v="2023-01-28T00:00:00"/>
    <x v="940"/>
    <x v="1"/>
    <x v="29"/>
    <x v="2"/>
    <n v="1"/>
    <n v="30"/>
    <n v="30"/>
    <x v="2"/>
    <x v="3"/>
  </r>
  <r>
    <d v="2023-03-19T00:00:00"/>
    <x v="941"/>
    <x v="1"/>
    <x v="35"/>
    <x v="1"/>
    <n v="2"/>
    <n v="25"/>
    <n v="50"/>
    <x v="5"/>
    <x v="2"/>
  </r>
  <r>
    <d v="2023-03-18T00:00:00"/>
    <x v="942"/>
    <x v="0"/>
    <x v="25"/>
    <x v="1"/>
    <n v="3"/>
    <n v="500"/>
    <n v="1500"/>
    <x v="5"/>
    <x v="3"/>
  </r>
  <r>
    <d v="2023-10-16T00:00:00"/>
    <x v="943"/>
    <x v="1"/>
    <x v="35"/>
    <x v="1"/>
    <n v="4"/>
    <n v="300"/>
    <n v="1200"/>
    <x v="7"/>
    <x v="1"/>
  </r>
  <r>
    <d v="2023-06-05T00:00:00"/>
    <x v="944"/>
    <x v="0"/>
    <x v="24"/>
    <x v="1"/>
    <n v="2"/>
    <n v="25"/>
    <n v="50"/>
    <x v="10"/>
    <x v="1"/>
  </r>
  <r>
    <d v="2023-02-13T00:00:00"/>
    <x v="945"/>
    <x v="0"/>
    <x v="4"/>
    <x v="0"/>
    <n v="1"/>
    <n v="25"/>
    <n v="25"/>
    <x v="1"/>
    <x v="1"/>
  </r>
  <r>
    <d v="2023-05-08T00:00:00"/>
    <x v="946"/>
    <x v="0"/>
    <x v="17"/>
    <x v="2"/>
    <n v="4"/>
    <n v="500"/>
    <n v="2000"/>
    <x v="3"/>
    <x v="1"/>
  </r>
  <r>
    <d v="2023-03-02T00:00:00"/>
    <x v="947"/>
    <x v="0"/>
    <x v="2"/>
    <x v="0"/>
    <n v="1"/>
    <n v="300"/>
    <n v="300"/>
    <x v="5"/>
    <x v="6"/>
  </r>
  <r>
    <d v="2023-10-13T00:00:00"/>
    <x v="948"/>
    <x v="1"/>
    <x v="9"/>
    <x v="2"/>
    <n v="3"/>
    <n v="25"/>
    <n v="75"/>
    <x v="7"/>
    <x v="0"/>
  </r>
  <r>
    <d v="2023-08-02T00:00:00"/>
    <x v="949"/>
    <x v="1"/>
    <x v="41"/>
    <x v="2"/>
    <n v="2"/>
    <n v="25"/>
    <n v="50"/>
    <x v="8"/>
    <x v="5"/>
  </r>
  <r>
    <d v="2023-11-07T00:00:00"/>
    <x v="950"/>
    <x v="0"/>
    <x v="32"/>
    <x v="1"/>
    <n v="3"/>
    <n v="300"/>
    <n v="900"/>
    <x v="0"/>
    <x v="4"/>
  </r>
  <r>
    <d v="2023-11-02T00:00:00"/>
    <x v="951"/>
    <x v="0"/>
    <x v="44"/>
    <x v="0"/>
    <n v="2"/>
    <n v="50"/>
    <n v="100"/>
    <x v="0"/>
    <x v="6"/>
  </r>
  <r>
    <d v="2023-11-13T00:00:00"/>
    <x v="952"/>
    <x v="1"/>
    <x v="35"/>
    <x v="1"/>
    <n v="1"/>
    <n v="25"/>
    <n v="25"/>
    <x v="0"/>
    <x v="1"/>
  </r>
  <r>
    <d v="2023-04-26T00:00:00"/>
    <x v="953"/>
    <x v="0"/>
    <x v="5"/>
    <x v="0"/>
    <n v="3"/>
    <n v="30"/>
    <n v="90"/>
    <x v="4"/>
    <x v="5"/>
  </r>
  <r>
    <d v="2023-09-25T00:00:00"/>
    <x v="954"/>
    <x v="1"/>
    <x v="2"/>
    <x v="2"/>
    <n v="3"/>
    <n v="300"/>
    <n v="900"/>
    <x v="9"/>
    <x v="1"/>
  </r>
  <r>
    <d v="2023-07-14T00:00:00"/>
    <x v="955"/>
    <x v="0"/>
    <x v="26"/>
    <x v="1"/>
    <n v="1"/>
    <n v="25"/>
    <n v="25"/>
    <x v="11"/>
    <x v="0"/>
  </r>
  <r>
    <d v="2023-08-19T00:00:00"/>
    <x v="956"/>
    <x v="0"/>
    <x v="4"/>
    <x v="1"/>
    <n v="3"/>
    <n v="500"/>
    <n v="1500"/>
    <x v="8"/>
    <x v="3"/>
  </r>
  <r>
    <d v="2023-08-15T00:00:00"/>
    <x v="957"/>
    <x v="1"/>
    <x v="43"/>
    <x v="2"/>
    <n v="4"/>
    <n v="30"/>
    <n v="120"/>
    <x v="8"/>
    <x v="4"/>
  </r>
  <r>
    <d v="2023-06-02T00:00:00"/>
    <x v="958"/>
    <x v="0"/>
    <x v="17"/>
    <x v="2"/>
    <n v="2"/>
    <n v="25"/>
    <n v="50"/>
    <x v="10"/>
    <x v="0"/>
  </r>
  <r>
    <d v="2023-10-29T00:00:00"/>
    <x v="959"/>
    <x v="1"/>
    <x v="13"/>
    <x v="2"/>
    <n v="2"/>
    <n v="30"/>
    <n v="60"/>
    <x v="7"/>
    <x v="2"/>
  </r>
  <r>
    <d v="2023-08-08T00:00:00"/>
    <x v="960"/>
    <x v="0"/>
    <x v="42"/>
    <x v="1"/>
    <n v="2"/>
    <n v="30"/>
    <n v="60"/>
    <x v="8"/>
    <x v="4"/>
  </r>
  <r>
    <d v="2023-06-06T00:00:00"/>
    <x v="961"/>
    <x v="0"/>
    <x v="45"/>
    <x v="0"/>
    <n v="4"/>
    <n v="50"/>
    <n v="200"/>
    <x v="10"/>
    <x v="4"/>
  </r>
  <r>
    <d v="2023-10-19T00:00:00"/>
    <x v="962"/>
    <x v="0"/>
    <x v="24"/>
    <x v="1"/>
    <n v="2"/>
    <n v="30"/>
    <n v="60"/>
    <x v="7"/>
    <x v="6"/>
  </r>
  <r>
    <d v="2023-11-14T00:00:00"/>
    <x v="963"/>
    <x v="1"/>
    <x v="28"/>
    <x v="0"/>
    <n v="1"/>
    <n v="50"/>
    <n v="50"/>
    <x v="0"/>
    <x v="4"/>
  </r>
  <r>
    <d v="2023-01-31T00:00:00"/>
    <x v="964"/>
    <x v="0"/>
    <x v="46"/>
    <x v="1"/>
    <n v="3"/>
    <n v="300"/>
    <n v="900"/>
    <x v="2"/>
    <x v="4"/>
  </r>
  <r>
    <d v="2023-11-09T00:00:00"/>
    <x v="965"/>
    <x v="0"/>
    <x v="11"/>
    <x v="1"/>
    <n v="4"/>
    <n v="50"/>
    <n v="200"/>
    <x v="0"/>
    <x v="6"/>
  </r>
  <r>
    <d v="2023-02-20T00:00:00"/>
    <x v="966"/>
    <x v="0"/>
    <x v="43"/>
    <x v="2"/>
    <n v="2"/>
    <n v="500"/>
    <n v="1000"/>
    <x v="1"/>
    <x v="1"/>
  </r>
  <r>
    <d v="2023-04-17T00:00:00"/>
    <x v="967"/>
    <x v="0"/>
    <x v="17"/>
    <x v="0"/>
    <n v="1"/>
    <n v="25"/>
    <n v="25"/>
    <x v="4"/>
    <x v="1"/>
  </r>
  <r>
    <d v="2023-11-17T00:00:00"/>
    <x v="968"/>
    <x v="1"/>
    <x v="27"/>
    <x v="1"/>
    <n v="3"/>
    <n v="300"/>
    <n v="900"/>
    <x v="0"/>
    <x v="0"/>
  </r>
  <r>
    <d v="2023-04-19T00:00:00"/>
    <x v="969"/>
    <x v="1"/>
    <x v="30"/>
    <x v="1"/>
    <n v="3"/>
    <n v="300"/>
    <n v="900"/>
    <x v="4"/>
    <x v="5"/>
  </r>
  <r>
    <d v="2023-05-16T00:00:00"/>
    <x v="970"/>
    <x v="0"/>
    <x v="42"/>
    <x v="2"/>
    <n v="4"/>
    <n v="500"/>
    <n v="2000"/>
    <x v="3"/>
    <x v="4"/>
  </r>
  <r>
    <d v="2023-12-05T00:00:00"/>
    <x v="971"/>
    <x v="1"/>
    <x v="15"/>
    <x v="2"/>
    <n v="4"/>
    <n v="50"/>
    <n v="200"/>
    <x v="6"/>
    <x v="4"/>
  </r>
  <r>
    <d v="2023-02-11T00:00:00"/>
    <x v="972"/>
    <x v="0"/>
    <x v="19"/>
    <x v="0"/>
    <n v="4"/>
    <n v="25"/>
    <n v="100"/>
    <x v="1"/>
    <x v="3"/>
  </r>
  <r>
    <d v="2023-03-22T00:00:00"/>
    <x v="973"/>
    <x v="0"/>
    <x v="43"/>
    <x v="1"/>
    <n v="1"/>
    <n v="50"/>
    <n v="50"/>
    <x v="5"/>
    <x v="5"/>
  </r>
  <r>
    <d v="2023-05-03T00:00:00"/>
    <x v="974"/>
    <x v="0"/>
    <x v="16"/>
    <x v="0"/>
    <n v="1"/>
    <n v="30"/>
    <n v="30"/>
    <x v="3"/>
    <x v="5"/>
  </r>
  <r>
    <d v="2023-03-30T00:00:00"/>
    <x v="975"/>
    <x v="1"/>
    <x v="37"/>
    <x v="1"/>
    <n v="4"/>
    <n v="50"/>
    <n v="200"/>
    <x v="5"/>
    <x v="6"/>
  </r>
  <r>
    <d v="2023-10-10T00:00:00"/>
    <x v="976"/>
    <x v="1"/>
    <x v="27"/>
    <x v="0"/>
    <n v="2"/>
    <n v="300"/>
    <n v="600"/>
    <x v="7"/>
    <x v="4"/>
  </r>
  <r>
    <d v="2023-02-08T00:00:00"/>
    <x v="977"/>
    <x v="1"/>
    <x v="10"/>
    <x v="2"/>
    <n v="3"/>
    <n v="25"/>
    <n v="75"/>
    <x v="1"/>
    <x v="5"/>
  </r>
  <r>
    <d v="2023-03-22T00:00:00"/>
    <x v="978"/>
    <x v="1"/>
    <x v="45"/>
    <x v="1"/>
    <n v="3"/>
    <n v="50"/>
    <n v="150"/>
    <x v="5"/>
    <x v="5"/>
  </r>
  <r>
    <d v="2023-01-02T00:00:00"/>
    <x v="979"/>
    <x v="1"/>
    <x v="14"/>
    <x v="0"/>
    <n v="1"/>
    <n v="25"/>
    <n v="25"/>
    <x v="2"/>
    <x v="1"/>
  </r>
  <r>
    <d v="2023-07-29T00:00:00"/>
    <x v="980"/>
    <x v="1"/>
    <x v="33"/>
    <x v="2"/>
    <n v="3"/>
    <n v="25"/>
    <n v="75"/>
    <x v="11"/>
    <x v="3"/>
  </r>
  <r>
    <d v="2023-08-19T00:00:00"/>
    <x v="981"/>
    <x v="1"/>
    <x v="4"/>
    <x v="2"/>
    <n v="2"/>
    <n v="30"/>
    <n v="60"/>
    <x v="8"/>
    <x v="3"/>
  </r>
  <r>
    <d v="2023-12-19T00:00:00"/>
    <x v="982"/>
    <x v="1"/>
    <x v="6"/>
    <x v="0"/>
    <n v="3"/>
    <n v="30"/>
    <n v="90"/>
    <x v="6"/>
    <x v="4"/>
  </r>
  <r>
    <d v="2023-11-01T00:00:00"/>
    <x v="983"/>
    <x v="1"/>
    <x v="38"/>
    <x v="1"/>
    <n v="1"/>
    <n v="300"/>
    <n v="300"/>
    <x v="0"/>
    <x v="5"/>
  </r>
  <r>
    <d v="2023-08-29T00:00:00"/>
    <x v="984"/>
    <x v="0"/>
    <x v="37"/>
    <x v="1"/>
    <n v="1"/>
    <n v="500"/>
    <n v="500"/>
    <x v="8"/>
    <x v="4"/>
  </r>
  <r>
    <d v="2023-05-30T00:00:00"/>
    <x v="985"/>
    <x v="1"/>
    <x v="14"/>
    <x v="2"/>
    <n v="2"/>
    <n v="25"/>
    <n v="50"/>
    <x v="3"/>
    <x v="4"/>
  </r>
  <r>
    <d v="2023-01-17T00:00:00"/>
    <x v="986"/>
    <x v="1"/>
    <x v="19"/>
    <x v="1"/>
    <n v="2"/>
    <n v="500"/>
    <n v="1000"/>
    <x v="2"/>
    <x v="4"/>
  </r>
  <r>
    <d v="2023-04-29T00:00:00"/>
    <x v="987"/>
    <x v="1"/>
    <x v="4"/>
    <x v="1"/>
    <n v="3"/>
    <n v="300"/>
    <n v="900"/>
    <x v="4"/>
    <x v="3"/>
  </r>
  <r>
    <d v="2023-05-28T00:00:00"/>
    <x v="988"/>
    <x v="1"/>
    <x v="7"/>
    <x v="1"/>
    <n v="3"/>
    <n v="25"/>
    <n v="75"/>
    <x v="3"/>
    <x v="2"/>
  </r>
  <r>
    <d v="2023-12-28T00:00:00"/>
    <x v="989"/>
    <x v="1"/>
    <x v="24"/>
    <x v="2"/>
    <n v="1"/>
    <n v="25"/>
    <n v="25"/>
    <x v="6"/>
    <x v="6"/>
  </r>
  <r>
    <d v="2023-05-25T00:00:00"/>
    <x v="990"/>
    <x v="1"/>
    <x v="26"/>
    <x v="0"/>
    <n v="2"/>
    <n v="500"/>
    <n v="1000"/>
    <x v="3"/>
    <x v="6"/>
  </r>
  <r>
    <d v="2023-12-26T00:00:00"/>
    <x v="991"/>
    <x v="1"/>
    <x v="0"/>
    <x v="1"/>
    <n v="2"/>
    <n v="50"/>
    <n v="100"/>
    <x v="6"/>
    <x v="4"/>
  </r>
  <r>
    <d v="2023-08-21T00:00:00"/>
    <x v="992"/>
    <x v="1"/>
    <x v="35"/>
    <x v="2"/>
    <n v="2"/>
    <n v="30"/>
    <n v="60"/>
    <x v="8"/>
    <x v="1"/>
  </r>
  <r>
    <d v="2023-02-06T00:00:00"/>
    <x v="993"/>
    <x v="1"/>
    <x v="27"/>
    <x v="2"/>
    <n v="3"/>
    <n v="50"/>
    <n v="150"/>
    <x v="1"/>
    <x v="1"/>
  </r>
  <r>
    <d v="2023-12-18T00:00:00"/>
    <x v="994"/>
    <x v="1"/>
    <x v="25"/>
    <x v="0"/>
    <n v="2"/>
    <n v="500"/>
    <n v="1000"/>
    <x v="6"/>
    <x v="1"/>
  </r>
  <r>
    <d v="2023-04-30T00:00:00"/>
    <x v="995"/>
    <x v="1"/>
    <x v="41"/>
    <x v="1"/>
    <n v="1"/>
    <n v="30"/>
    <n v="30"/>
    <x v="4"/>
    <x v="2"/>
  </r>
  <r>
    <d v="2023-05-16T00:00:00"/>
    <x v="996"/>
    <x v="0"/>
    <x v="17"/>
    <x v="1"/>
    <n v="1"/>
    <n v="50"/>
    <n v="50"/>
    <x v="3"/>
    <x v="4"/>
  </r>
  <r>
    <d v="2023-11-17T00:00:00"/>
    <x v="997"/>
    <x v="0"/>
    <x v="8"/>
    <x v="0"/>
    <n v="3"/>
    <n v="30"/>
    <n v="90"/>
    <x v="0"/>
    <x v="0"/>
  </r>
  <r>
    <d v="2023-10-29T00:00:00"/>
    <x v="998"/>
    <x v="1"/>
    <x v="9"/>
    <x v="0"/>
    <n v="4"/>
    <n v="25"/>
    <n v="100"/>
    <x v="7"/>
    <x v="2"/>
  </r>
  <r>
    <d v="2023-12-05T00:00:00"/>
    <x v="999"/>
    <x v="1"/>
    <x v="32"/>
    <x v="2"/>
    <n v="3"/>
    <n v="50"/>
    <n v="150"/>
    <x v="6"/>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246DC3-D786-4F09-841B-44B77DC18990}" name="PivotTable6"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A3:B16" firstHeaderRow="1" firstDataRow="1" firstDataCol="1"/>
  <pivotFields count="11">
    <pivotField compact="0" numFmtId="14" outline="0" showAll="0"/>
    <pivotField compact="0" outline="0" showAll="0"/>
    <pivotField compact="0" outline="0" showAll="0"/>
    <pivotField compact="0" outline="0"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compact="0" outline="0" showAll="0">
      <items count="4">
        <item x="0"/>
        <item x="1"/>
        <item x="2"/>
        <item t="default"/>
      </items>
    </pivotField>
    <pivotField compact="0" outline="0" showAll="0"/>
    <pivotField compact="0" outline="0" showAll="0"/>
    <pivotField dataField="1" compact="0" outline="0" showAll="0"/>
    <pivotField axis="axisRow" compact="0" outline="0" showAll="0">
      <items count="13">
        <item x="2"/>
        <item x="1"/>
        <item x="5"/>
        <item x="4"/>
        <item x="3"/>
        <item x="10"/>
        <item x="11"/>
        <item x="8"/>
        <item x="9"/>
        <item x="7"/>
        <item x="0"/>
        <item x="6"/>
        <item t="default"/>
      </items>
    </pivotField>
    <pivotField compact="0" outline="0" showAll="0"/>
    <pivotField compact="0" outline="0" showAll="0">
      <items count="5">
        <item x="3"/>
        <item x="0"/>
        <item x="1"/>
        <item x="2"/>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total_amount" fld="7" baseField="8" baseItem="0" numFmtId="44"/>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EE47D3-A0DC-4E45-9BB1-D7FC0CE3A603}"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7" firstHeaderRow="1" firstDataRow="1" firstDataCol="1"/>
  <pivotFields count="11">
    <pivotField numFmtId="14" showAll="0"/>
    <pivotField showAll="0"/>
    <pivotField showAll="0"/>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showAll="0"/>
    <pivotField dataField="1" showAll="0"/>
    <pivotField showAll="0"/>
    <pivotField showAll="0"/>
    <pivotField showAll="0"/>
    <pivotField showAll="0">
      <items count="5">
        <item x="3"/>
        <item x="0"/>
        <item x="1"/>
        <item x="2"/>
        <item t="default"/>
      </items>
    </pivotField>
  </pivotFields>
  <rowFields count="1">
    <field x="4"/>
  </rowFields>
  <rowItems count="4">
    <i>
      <x/>
    </i>
    <i>
      <x v="1"/>
    </i>
    <i>
      <x v="2"/>
    </i>
    <i t="grand">
      <x/>
    </i>
  </rowItems>
  <colItems count="1">
    <i/>
  </colItems>
  <dataFields count="1">
    <dataField name="Average of price_per_unit" fld="6" subtotal="average" baseField="0" baseItem="0" numFmtId="1"/>
  </dataFields>
  <formats count="2">
    <format dxfId="12">
      <pivotArea outline="0" collapsedLevelsAreSubtotals="1" fieldPosition="0"/>
    </format>
    <format dxfId="8">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4" count="1" selected="0">
            <x v="1"/>
          </reference>
        </references>
      </pivotArea>
    </chartFormat>
    <chartFormat chart="7" format="4">
      <pivotArea type="data" outline="0" fieldPosition="0">
        <references count="2">
          <reference field="4294967294" count="1" selected="0">
            <x v="0"/>
          </reference>
          <reference field="4" count="1" selected="0">
            <x v="0"/>
          </reference>
        </references>
      </pivotArea>
    </chartFormat>
    <chartFormat chart="7" format="5">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A64777-7447-4127-A7FD-9658A03FF881}" name="PivotTable12"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B11" firstHeaderRow="1" firstDataRow="1" firstDataCol="1"/>
  <pivotFields count="11">
    <pivotField compact="0" numFmtId="14" outline="0" showAll="0"/>
    <pivotField compact="0" outline="0" showAll="0"/>
    <pivotField compact="0" outline="0" showAll="0"/>
    <pivotField compact="0" outline="0"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axis="axisRow" compact="0" outline="0" showAll="0">
      <items count="8">
        <item x="2"/>
        <item x="1"/>
        <item x="4"/>
        <item x="5"/>
        <item x="6"/>
        <item x="0"/>
        <item x="3"/>
        <item t="default"/>
      </items>
    </pivotField>
    <pivotField compact="0" outline="0" showAll="0">
      <items count="5">
        <item x="3"/>
        <item x="0"/>
        <item x="1"/>
        <item x="2"/>
        <item t="default"/>
      </items>
    </pivotField>
  </pivotFields>
  <rowFields count="1">
    <field x="9"/>
  </rowFields>
  <rowItems count="8">
    <i>
      <x/>
    </i>
    <i>
      <x v="1"/>
    </i>
    <i>
      <x v="2"/>
    </i>
    <i>
      <x v="3"/>
    </i>
    <i>
      <x v="4"/>
    </i>
    <i>
      <x v="5"/>
    </i>
    <i>
      <x v="6"/>
    </i>
    <i t="grand">
      <x/>
    </i>
  </rowItems>
  <colItems count="1">
    <i/>
  </colItems>
  <dataFields count="1">
    <dataField name="Sum of total_amount" fld="7" baseField="0" baseItem="0" numFmtId="164"/>
  </dataFields>
  <formats count="1">
    <format dxfId="11">
      <pivotArea outline="0" collapsedLevelsAreSubtotals="1" fieldPosition="0"/>
    </format>
  </formats>
  <chartFormats count="3">
    <chartFormat chart="0"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A76029-76C3-4200-B6F6-762358272373}"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1">
    <pivotField numFmtId="14" showAll="0"/>
    <pivotField showAll="0"/>
    <pivotField axis="axisRow"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items count="4">
        <item x="0"/>
        <item x="1"/>
        <item x="2"/>
        <item t="default"/>
      </items>
    </pivotField>
    <pivotField showAll="0"/>
    <pivotField showAll="0"/>
    <pivotField dataField="1" showAll="0"/>
    <pivotField showAll="0"/>
    <pivotField showAll="0"/>
    <pivotField showAll="0">
      <items count="5">
        <item x="3"/>
        <item x="0"/>
        <item x="1"/>
        <item x="2"/>
        <item t="default"/>
      </items>
    </pivotField>
  </pivotFields>
  <rowFields count="1">
    <field x="2"/>
  </rowFields>
  <rowItems count="3">
    <i>
      <x/>
    </i>
    <i>
      <x v="1"/>
    </i>
    <i t="grand">
      <x/>
    </i>
  </rowItems>
  <colItems count="1">
    <i/>
  </colItems>
  <dataFields count="1">
    <dataField name="Average of total_amount" fld="7" subtotal="average" baseField="2" baseItem="0" numFmtId="44"/>
  </dataFields>
  <formats count="1">
    <format dxfId="1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E5A8CC-B2C8-40EC-ACA9-7207E7C0AC16}"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9" firstHeaderRow="1" firstDataRow="2" firstDataCol="1"/>
  <pivotFields count="11">
    <pivotField numFmtId="14" showAll="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defaultSubtotal="0">
      <items count="47">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s>
    </pivotField>
    <pivotField axis="axisCol" showAll="0">
      <items count="4">
        <item x="0"/>
        <item x="1"/>
        <item x="2"/>
        <item t="default"/>
      </items>
    </pivotField>
    <pivotField showAll="0"/>
    <pivotField showAll="0"/>
    <pivotField showAll="0"/>
    <pivotField showAll="0"/>
    <pivotField showAll="0"/>
    <pivotField axis="axisRow" showAll="0" sortType="ascending" defaultSubtotal="0">
      <items count="4">
        <item n="18-25" x="3"/>
        <item n="26-35" x="0"/>
        <item n="36-45" x="1"/>
        <item n="46-64" x="2"/>
      </items>
    </pivotField>
  </pivotFields>
  <rowFields count="1">
    <field x="10"/>
  </rowFields>
  <rowItems count="5">
    <i>
      <x/>
    </i>
    <i>
      <x v="1"/>
    </i>
    <i>
      <x v="2"/>
    </i>
    <i>
      <x v="3"/>
    </i>
    <i t="grand">
      <x/>
    </i>
  </rowItems>
  <colFields count="1">
    <field x="4"/>
  </colFields>
  <colItems count="4">
    <i>
      <x/>
    </i>
    <i>
      <x v="1"/>
    </i>
    <i>
      <x v="2"/>
    </i>
    <i t="grand">
      <x/>
    </i>
  </colItems>
  <dataFields count="1">
    <dataField name="Count of customer_id" fld="1" subtotal="count" baseField="0"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2" format="6" series="1">
      <pivotArea type="data" outline="0" fieldPosition="0">
        <references count="2">
          <reference field="4294967294" count="1" selected="0">
            <x v="0"/>
          </reference>
          <reference field="4" count="1" selected="0">
            <x v="0"/>
          </reference>
        </references>
      </pivotArea>
    </chartFormat>
    <chartFormat chart="2" format="7" series="1">
      <pivotArea type="data" outline="0" fieldPosition="0">
        <references count="2">
          <reference field="4294967294" count="1" selected="0">
            <x v="0"/>
          </reference>
          <reference field="4" count="1" selected="0">
            <x v="1"/>
          </reference>
        </references>
      </pivotArea>
    </chartFormat>
    <chartFormat chart="2"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AEC15F2-016E-485D-8DB2-4EB9BDC43208}" sourceName="gender">
  <pivotTables>
    <pivotTable tabId="13" name="PivotTable13"/>
  </pivotTables>
  <data>
    <tabular pivotCacheId="70780748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F177A136-0643-4E84-AF4F-A931D6560371}" sourceName="product_category">
  <pivotTables>
    <pivotTable tabId="17" name="PivotTable1"/>
    <pivotTable tabId="13" name="PivotTable13"/>
    <pivotTable tabId="4" name="PivotTable6"/>
    <pivotTable tabId="12" name="PivotTable12"/>
    <pivotTable tabId="9" name="PivotTable10"/>
  </pivotTables>
  <data>
    <tabular pivotCacheId="70780748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B218F2E-1B72-4815-B0BA-16A90EB35246}"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7F2C7CE-7137-4A0E-9FEE-050C45B39584}" cache="Slicer_gender" caption="gender" style="Slicer Style 7" rowHeight="241300"/>
  <slicer name="product_category 1" xr10:uid="{D799C7DF-2699-466E-AC67-6AC79B59BD0E}" cache="Slicer_product_category1" caption="product_category" style="Slicer Style 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FB4A69-AA17-411D-9B8C-F5F09B886AC6}" name="Table1" displayName="Table1" ref="A1:J1001" totalsRowShown="0">
  <autoFilter ref="A1:J1001" xr:uid="{6EFB4A69-AA17-411D-9B8C-F5F09B886AC6}"/>
  <sortState xmlns:xlrd2="http://schemas.microsoft.com/office/spreadsheetml/2017/richdata2" ref="A2:J1001">
    <sortCondition ref="B1:B1001"/>
  </sortState>
  <tableColumns count="10">
    <tableColumn id="1" xr3:uid="{8B993740-E0A5-41BA-8F7D-5006AAA0A39F}" name="date" dataDxfId="9"/>
    <tableColumn id="2" xr3:uid="{DE2BE4EC-472E-4770-82E3-042310741967}" name="customer_id"/>
    <tableColumn id="3" xr3:uid="{F85E875C-25A1-40C7-95FD-A00C5D0A66DB}" name="gender"/>
    <tableColumn id="4" xr3:uid="{2F07CB0A-CC3F-477C-A34C-4A77A939C718}" name="age"/>
    <tableColumn id="5" xr3:uid="{B1A69A1E-EDE5-4291-B5C6-A84F02912AD4}" name="product_category"/>
    <tableColumn id="6" xr3:uid="{EF2D8CE4-0458-49B1-80CF-E55C798B828F}" name="quantity"/>
    <tableColumn id="7" xr3:uid="{36027A38-3EB8-4B08-97D2-83214F0067EC}" name="price_per_unit"/>
    <tableColumn id="8" xr3:uid="{1E3ECFF0-C235-4F32-B134-FA0B66E131C1}" name="total_amount"/>
    <tableColumn id="9" xr3:uid="{7EFC2D99-A598-4B0B-88C5-5229D3BEEB45}" name="month"/>
    <tableColumn id="10" xr3:uid="{71BF7A0C-C6EC-42A0-AD17-FF4EDCC6A081}" name="days"/>
  </tableColumns>
  <tableStyleInfo name="TableStyleLight1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a:spPr>
      <a:bodyPr vertOverflow="clip" horzOverflow="clip" rtlCol="0" anchor="t"/>
      <a:lstStyle>
        <a:defPPr algn="l">
          <a:defRPr sz="1800" b="1">
            <a:latin typeface="Aptos Display" panose="020B0004020202020204" pitchFamily="34" charset="0"/>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7A087-1B9D-471E-A388-82EE72AE36DF}">
  <dimension ref="A3:B16"/>
  <sheetViews>
    <sheetView topLeftCell="R1" workbookViewId="0">
      <selection activeCell="M10" sqref="M10"/>
    </sheetView>
  </sheetViews>
  <sheetFormatPr defaultRowHeight="15" x14ac:dyDescent="0.25"/>
  <cols>
    <col min="1" max="1" width="11.28515625" bestFit="1" customWidth="1"/>
    <col min="2" max="2" width="19.85546875" bestFit="1" customWidth="1"/>
  </cols>
  <sheetData>
    <row r="3" spans="1:2" x14ac:dyDescent="0.25">
      <c r="A3" s="6" t="s">
        <v>8</v>
      </c>
      <c r="B3" t="s">
        <v>1045</v>
      </c>
    </row>
    <row r="4" spans="1:2" x14ac:dyDescent="0.25">
      <c r="A4" t="s">
        <v>22</v>
      </c>
      <c r="B4" s="9">
        <v>36980</v>
      </c>
    </row>
    <row r="5" spans="1:2" x14ac:dyDescent="0.25">
      <c r="A5" t="s">
        <v>18</v>
      </c>
      <c r="B5" s="9">
        <v>44060</v>
      </c>
    </row>
    <row r="6" spans="1:2" x14ac:dyDescent="0.25">
      <c r="A6" t="s">
        <v>32</v>
      </c>
      <c r="B6" s="9">
        <v>28990</v>
      </c>
    </row>
    <row r="7" spans="1:2" x14ac:dyDescent="0.25">
      <c r="A7" t="s">
        <v>29</v>
      </c>
      <c r="B7" s="9">
        <v>33870</v>
      </c>
    </row>
    <row r="8" spans="1:2" x14ac:dyDescent="0.25">
      <c r="A8" t="s">
        <v>24</v>
      </c>
      <c r="B8" s="9">
        <v>53150</v>
      </c>
    </row>
    <row r="9" spans="1:2" x14ac:dyDescent="0.25">
      <c r="A9" t="s">
        <v>68</v>
      </c>
      <c r="B9" s="9">
        <v>36715</v>
      </c>
    </row>
    <row r="10" spans="1:2" x14ac:dyDescent="0.25">
      <c r="A10" t="s">
        <v>76</v>
      </c>
      <c r="B10" s="9">
        <v>35465</v>
      </c>
    </row>
    <row r="11" spans="1:2" x14ac:dyDescent="0.25">
      <c r="A11" t="s">
        <v>42</v>
      </c>
      <c r="B11" s="9">
        <v>36960</v>
      </c>
    </row>
    <row r="12" spans="1:2" x14ac:dyDescent="0.25">
      <c r="A12" t="s">
        <v>49</v>
      </c>
      <c r="B12" s="9">
        <v>23620</v>
      </c>
    </row>
    <row r="13" spans="1:2" x14ac:dyDescent="0.25">
      <c r="A13" t="s">
        <v>38</v>
      </c>
      <c r="B13" s="9">
        <v>46580</v>
      </c>
    </row>
    <row r="14" spans="1:2" x14ac:dyDescent="0.25">
      <c r="A14" t="s">
        <v>13</v>
      </c>
      <c r="B14" s="9">
        <v>34920</v>
      </c>
    </row>
    <row r="15" spans="1:2" x14ac:dyDescent="0.25">
      <c r="A15" t="s">
        <v>36</v>
      </c>
      <c r="B15" s="9">
        <v>44690</v>
      </c>
    </row>
    <row r="16" spans="1:2" x14ac:dyDescent="0.25">
      <c r="A16" t="s">
        <v>1044</v>
      </c>
      <c r="B16" s="9">
        <v>456000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2CDBD-584D-4EE6-96C0-97C7F0486901}">
  <dimension ref="A3:B7"/>
  <sheetViews>
    <sheetView workbookViewId="0">
      <selection activeCell="B4" sqref="B4:B7"/>
    </sheetView>
  </sheetViews>
  <sheetFormatPr defaultRowHeight="15" x14ac:dyDescent="0.25"/>
  <cols>
    <col min="1" max="1" width="13.140625" bestFit="1" customWidth="1"/>
    <col min="2" max="2" width="24.42578125" bestFit="1" customWidth="1"/>
  </cols>
  <sheetData>
    <row r="3" spans="1:2" x14ac:dyDescent="0.25">
      <c r="A3" s="6" t="s">
        <v>1043</v>
      </c>
      <c r="B3" t="s">
        <v>1047</v>
      </c>
    </row>
    <row r="4" spans="1:2" x14ac:dyDescent="0.25">
      <c r="A4" s="7" t="s">
        <v>12</v>
      </c>
      <c r="B4" s="15">
        <v>184.05537459283389</v>
      </c>
    </row>
    <row r="5" spans="1:2" x14ac:dyDescent="0.25">
      <c r="A5" s="7" t="s">
        <v>17</v>
      </c>
      <c r="B5" s="15">
        <v>174.28774928774928</v>
      </c>
    </row>
    <row r="6" spans="1:2" x14ac:dyDescent="0.25">
      <c r="A6" s="7" t="s">
        <v>21</v>
      </c>
      <c r="B6" s="15">
        <v>181.90058479532163</v>
      </c>
    </row>
    <row r="7" spans="1:2" x14ac:dyDescent="0.25">
      <c r="A7" s="7" t="s">
        <v>1044</v>
      </c>
      <c r="B7" s="15">
        <v>179.89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A89C2-1DF1-45DC-851A-D8AF706A459B}">
  <dimension ref="A3:B11"/>
  <sheetViews>
    <sheetView tabSelected="1" workbookViewId="0">
      <selection activeCell="B4" sqref="B4:B11"/>
    </sheetView>
  </sheetViews>
  <sheetFormatPr defaultRowHeight="15" x14ac:dyDescent="0.25"/>
  <cols>
    <col min="1" max="1" width="11.28515625" bestFit="1" customWidth="1"/>
    <col min="2" max="2" width="19.85546875" bestFit="1" customWidth="1"/>
    <col min="3" max="3" width="20.85546875" bestFit="1" customWidth="1"/>
    <col min="4" max="4" width="19.85546875" bestFit="1" customWidth="1"/>
    <col min="5" max="5" width="15.140625" bestFit="1" customWidth="1"/>
  </cols>
  <sheetData>
    <row r="3" spans="1:2" x14ac:dyDescent="0.25">
      <c r="A3" s="6" t="s">
        <v>9</v>
      </c>
      <c r="B3" t="s">
        <v>1045</v>
      </c>
    </row>
    <row r="4" spans="1:2" x14ac:dyDescent="0.25">
      <c r="A4" t="s">
        <v>25</v>
      </c>
      <c r="B4" s="10">
        <v>58600</v>
      </c>
    </row>
    <row r="5" spans="1:2" x14ac:dyDescent="0.25">
      <c r="A5" t="s">
        <v>19</v>
      </c>
      <c r="B5" s="10">
        <v>70250</v>
      </c>
    </row>
    <row r="6" spans="1:2" x14ac:dyDescent="0.25">
      <c r="A6" t="s">
        <v>30</v>
      </c>
      <c r="B6" s="10">
        <v>69440</v>
      </c>
    </row>
    <row r="7" spans="1:2" x14ac:dyDescent="0.25">
      <c r="A7" t="s">
        <v>34</v>
      </c>
      <c r="B7" s="10">
        <v>58770</v>
      </c>
    </row>
    <row r="8" spans="1:2" x14ac:dyDescent="0.25">
      <c r="A8" t="s">
        <v>58</v>
      </c>
      <c r="B8" s="10">
        <v>53835</v>
      </c>
    </row>
    <row r="9" spans="1:2" x14ac:dyDescent="0.25">
      <c r="A9" t="s">
        <v>14</v>
      </c>
      <c r="B9" s="10">
        <v>66290</v>
      </c>
    </row>
    <row r="10" spans="1:2" x14ac:dyDescent="0.25">
      <c r="A10" t="s">
        <v>27</v>
      </c>
      <c r="B10" s="10">
        <v>78815</v>
      </c>
    </row>
    <row r="11" spans="1:2" x14ac:dyDescent="0.25">
      <c r="A11" t="s">
        <v>1044</v>
      </c>
      <c r="B11" s="10">
        <v>456000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81D2-347E-4AB8-88AE-05C3ECF89F9D}">
  <dimension ref="A3:B6"/>
  <sheetViews>
    <sheetView workbookViewId="0">
      <selection activeCell="B4" sqref="B4:B6"/>
    </sheetView>
  </sheetViews>
  <sheetFormatPr defaultRowHeight="15" x14ac:dyDescent="0.25"/>
  <cols>
    <col min="1" max="1" width="13.140625" bestFit="1" customWidth="1"/>
    <col min="2" max="2" width="23.42578125" bestFit="1" customWidth="1"/>
  </cols>
  <sheetData>
    <row r="3" spans="1:2" x14ac:dyDescent="0.25">
      <c r="A3" s="6" t="s">
        <v>1043</v>
      </c>
      <c r="B3" t="s">
        <v>1048</v>
      </c>
    </row>
    <row r="4" spans="1:2" x14ac:dyDescent="0.25">
      <c r="A4" s="7" t="s">
        <v>16</v>
      </c>
      <c r="B4" s="9">
        <v>456.54901960784315</v>
      </c>
    </row>
    <row r="5" spans="1:2" x14ac:dyDescent="0.25">
      <c r="A5" s="7" t="s">
        <v>11</v>
      </c>
      <c r="B5" s="9">
        <v>455.42857142857144</v>
      </c>
    </row>
    <row r="6" spans="1:2" x14ac:dyDescent="0.25">
      <c r="A6" s="7" t="s">
        <v>1044</v>
      </c>
      <c r="B6" s="9">
        <v>456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40122-A9C8-447D-A042-F3C8834C4BA5}">
  <dimension ref="W3"/>
  <sheetViews>
    <sheetView zoomScale="85" zoomScaleNormal="85" workbookViewId="0">
      <selection activeCell="A3" sqref="A3"/>
    </sheetView>
  </sheetViews>
  <sheetFormatPr defaultRowHeight="15" x14ac:dyDescent="0.25"/>
  <cols>
    <col min="1" max="1" width="13.28515625" bestFit="1" customWidth="1"/>
    <col min="2" max="2" width="20.28515625" bestFit="1" customWidth="1"/>
    <col min="3" max="3" width="8.42578125" bestFit="1" customWidth="1"/>
    <col min="4" max="4" width="10.5703125" bestFit="1" customWidth="1"/>
    <col min="5" max="5" width="11.28515625" bestFit="1" customWidth="1"/>
    <col min="6" max="48" width="3" bestFit="1" customWidth="1"/>
    <col min="49" max="49" width="11.28515625" bestFit="1" customWidth="1"/>
  </cols>
  <sheetData>
    <row r="3" spans="23:23" x14ac:dyDescent="0.25">
      <c r="W3" t="s">
        <v>1051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3ABC7-7266-4A8F-8A43-BEF124623A27}">
  <dimension ref="A3:E9"/>
  <sheetViews>
    <sheetView workbookViewId="0">
      <selection activeCell="B12" sqref="B12"/>
    </sheetView>
  </sheetViews>
  <sheetFormatPr defaultRowHeight="15" x14ac:dyDescent="0.25"/>
  <cols>
    <col min="1" max="1" width="20.28515625" bestFit="1" customWidth="1"/>
    <col min="2" max="2" width="16.28515625" bestFit="1" customWidth="1"/>
    <col min="3" max="3" width="8.42578125" bestFit="1" customWidth="1"/>
    <col min="4" max="4" width="10.5703125" bestFit="1" customWidth="1"/>
    <col min="5" max="5" width="11.28515625" bestFit="1" customWidth="1"/>
  </cols>
  <sheetData>
    <row r="3" spans="1:5" x14ac:dyDescent="0.25">
      <c r="A3" s="6" t="s">
        <v>1050</v>
      </c>
      <c r="B3" s="6" t="s">
        <v>1049</v>
      </c>
    </row>
    <row r="4" spans="1:5" x14ac:dyDescent="0.25">
      <c r="A4" s="6" t="s">
        <v>1043</v>
      </c>
      <c r="B4" t="s">
        <v>12</v>
      </c>
      <c r="C4" t="s">
        <v>17</v>
      </c>
      <c r="D4" t="s">
        <v>21</v>
      </c>
      <c r="E4" t="s">
        <v>1044</v>
      </c>
    </row>
    <row r="5" spans="1:5" x14ac:dyDescent="0.25">
      <c r="A5" s="7" t="s">
        <v>1053</v>
      </c>
      <c r="B5" s="14">
        <v>60</v>
      </c>
      <c r="C5" s="14">
        <v>51</v>
      </c>
      <c r="D5" s="14">
        <v>58</v>
      </c>
      <c r="E5" s="14">
        <v>169</v>
      </c>
    </row>
    <row r="6" spans="1:5" x14ac:dyDescent="0.25">
      <c r="A6" s="7" t="s">
        <v>1054</v>
      </c>
      <c r="B6" s="14">
        <v>67</v>
      </c>
      <c r="C6" s="14">
        <v>74</v>
      </c>
      <c r="D6" s="14">
        <v>64</v>
      </c>
      <c r="E6" s="14">
        <v>205</v>
      </c>
    </row>
    <row r="7" spans="1:5" x14ac:dyDescent="0.25">
      <c r="A7" s="7" t="s">
        <v>1055</v>
      </c>
      <c r="B7" s="14">
        <v>54</v>
      </c>
      <c r="C7" s="14">
        <v>76</v>
      </c>
      <c r="D7" s="14">
        <v>72</v>
      </c>
      <c r="E7" s="14">
        <v>202</v>
      </c>
    </row>
    <row r="8" spans="1:5" x14ac:dyDescent="0.25">
      <c r="A8" s="7" t="s">
        <v>1056</v>
      </c>
      <c r="B8" s="14">
        <v>126</v>
      </c>
      <c r="C8" s="14">
        <v>150</v>
      </c>
      <c r="D8" s="14">
        <v>148</v>
      </c>
      <c r="E8" s="14">
        <v>424</v>
      </c>
    </row>
    <row r="9" spans="1:5" x14ac:dyDescent="0.25">
      <c r="A9" s="7" t="s">
        <v>1044</v>
      </c>
      <c r="B9" s="14">
        <v>307</v>
      </c>
      <c r="C9" s="14">
        <v>351</v>
      </c>
      <c r="D9" s="14">
        <v>342</v>
      </c>
      <c r="E9" s="14">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ECB62-8C02-4E4C-BF89-8B59914A29EF}">
  <dimension ref="A1:J1001"/>
  <sheetViews>
    <sheetView topLeftCell="A974" workbookViewId="0">
      <selection activeCell="F2" sqref="F2"/>
    </sheetView>
  </sheetViews>
  <sheetFormatPr defaultRowHeight="15" x14ac:dyDescent="0.25"/>
  <cols>
    <col min="1" max="1" width="19.140625" customWidth="1"/>
    <col min="2" max="2" width="16.7109375" customWidth="1"/>
    <col min="3" max="3" width="12.7109375" customWidth="1"/>
    <col min="4" max="4" width="13.85546875" customWidth="1"/>
    <col min="5" max="5" width="18.5703125" customWidth="1"/>
    <col min="6" max="6" width="12.85546875" customWidth="1"/>
    <col min="7" max="7" width="25.28515625" customWidth="1"/>
    <col min="8" max="8" width="20" customWidth="1"/>
    <col min="9" max="9" width="13.85546875" customWidth="1"/>
    <col min="10" max="10" width="14.140625" customWidth="1"/>
  </cols>
  <sheetData>
    <row r="1" spans="1:10" x14ac:dyDescent="0.25">
      <c r="A1" t="s">
        <v>0</v>
      </c>
      <c r="B1" t="s">
        <v>1</v>
      </c>
      <c r="C1" t="s">
        <v>2</v>
      </c>
      <c r="D1" t="s">
        <v>3</v>
      </c>
      <c r="E1" t="s">
        <v>4</v>
      </c>
      <c r="F1" t="s">
        <v>5</v>
      </c>
      <c r="G1" t="s">
        <v>6</v>
      </c>
      <c r="H1" t="s">
        <v>7</v>
      </c>
      <c r="I1" t="s">
        <v>8</v>
      </c>
      <c r="J1" t="s">
        <v>9</v>
      </c>
    </row>
    <row r="2" spans="1:10" x14ac:dyDescent="0.25">
      <c r="A2" s="1">
        <v>45254</v>
      </c>
      <c r="B2" t="s">
        <v>10</v>
      </c>
      <c r="C2" t="s">
        <v>11</v>
      </c>
      <c r="D2">
        <v>34</v>
      </c>
      <c r="E2" t="s">
        <v>12</v>
      </c>
      <c r="F2">
        <v>3</v>
      </c>
      <c r="G2">
        <v>50</v>
      </c>
      <c r="H2">
        <v>150</v>
      </c>
      <c r="I2" t="s">
        <v>13</v>
      </c>
      <c r="J2" t="s">
        <v>14</v>
      </c>
    </row>
    <row r="3" spans="1:10" x14ac:dyDescent="0.25">
      <c r="A3" s="1">
        <v>44984</v>
      </c>
      <c r="B3" t="s">
        <v>15</v>
      </c>
      <c r="C3" t="s">
        <v>16</v>
      </c>
      <c r="D3">
        <v>26</v>
      </c>
      <c r="E3" t="s">
        <v>17</v>
      </c>
      <c r="F3">
        <v>2</v>
      </c>
      <c r="G3">
        <v>500</v>
      </c>
      <c r="H3">
        <v>1000</v>
      </c>
      <c r="I3" t="s">
        <v>18</v>
      </c>
      <c r="J3" t="s">
        <v>19</v>
      </c>
    </row>
    <row r="4" spans="1:10" x14ac:dyDescent="0.25">
      <c r="A4" s="1">
        <v>44939</v>
      </c>
      <c r="B4" t="s">
        <v>20</v>
      </c>
      <c r="C4" t="s">
        <v>11</v>
      </c>
      <c r="D4">
        <v>50</v>
      </c>
      <c r="E4" t="s">
        <v>21</v>
      </c>
      <c r="F4">
        <v>1</v>
      </c>
      <c r="G4">
        <v>30</v>
      </c>
      <c r="H4">
        <v>30</v>
      </c>
      <c r="I4" t="s">
        <v>22</v>
      </c>
      <c r="J4" t="s">
        <v>14</v>
      </c>
    </row>
    <row r="5" spans="1:10" x14ac:dyDescent="0.25">
      <c r="A5" s="1">
        <v>45067</v>
      </c>
      <c r="B5" t="s">
        <v>23</v>
      </c>
      <c r="C5" t="s">
        <v>11</v>
      </c>
      <c r="D5">
        <v>37</v>
      </c>
      <c r="E5" t="s">
        <v>17</v>
      </c>
      <c r="F5">
        <v>1</v>
      </c>
      <c r="G5">
        <v>500</v>
      </c>
      <c r="H5">
        <v>500</v>
      </c>
      <c r="I5" t="s">
        <v>24</v>
      </c>
      <c r="J5" t="s">
        <v>25</v>
      </c>
    </row>
    <row r="6" spans="1:10" x14ac:dyDescent="0.25">
      <c r="A6" s="1">
        <v>45052</v>
      </c>
      <c r="B6" t="s">
        <v>26</v>
      </c>
      <c r="C6" t="s">
        <v>11</v>
      </c>
      <c r="D6">
        <v>30</v>
      </c>
      <c r="E6" t="s">
        <v>12</v>
      </c>
      <c r="F6">
        <v>2</v>
      </c>
      <c r="G6">
        <v>50</v>
      </c>
      <c r="H6">
        <v>100</v>
      </c>
      <c r="I6" t="s">
        <v>24</v>
      </c>
      <c r="J6" t="s">
        <v>27</v>
      </c>
    </row>
    <row r="7" spans="1:10" x14ac:dyDescent="0.25">
      <c r="A7" s="1">
        <v>45041</v>
      </c>
      <c r="B7" t="s">
        <v>28</v>
      </c>
      <c r="C7" t="s">
        <v>16</v>
      </c>
      <c r="D7">
        <v>45</v>
      </c>
      <c r="E7" t="s">
        <v>12</v>
      </c>
      <c r="F7">
        <v>1</v>
      </c>
      <c r="G7">
        <v>30</v>
      </c>
      <c r="H7">
        <v>30</v>
      </c>
      <c r="I7" t="s">
        <v>29</v>
      </c>
      <c r="J7" t="s">
        <v>30</v>
      </c>
    </row>
    <row r="8" spans="1:10" x14ac:dyDescent="0.25">
      <c r="A8" s="1">
        <v>44998</v>
      </c>
      <c r="B8" t="s">
        <v>31</v>
      </c>
      <c r="C8" t="s">
        <v>11</v>
      </c>
      <c r="D8">
        <v>46</v>
      </c>
      <c r="E8" t="s">
        <v>17</v>
      </c>
      <c r="F8">
        <v>2</v>
      </c>
      <c r="G8">
        <v>25</v>
      </c>
      <c r="H8">
        <v>50</v>
      </c>
      <c r="I8" t="s">
        <v>32</v>
      </c>
      <c r="J8" t="s">
        <v>19</v>
      </c>
    </row>
    <row r="9" spans="1:10" x14ac:dyDescent="0.25">
      <c r="A9" s="1">
        <v>44979</v>
      </c>
      <c r="B9" t="s">
        <v>33</v>
      </c>
      <c r="C9" t="s">
        <v>11</v>
      </c>
      <c r="D9">
        <v>30</v>
      </c>
      <c r="E9" t="s">
        <v>21</v>
      </c>
      <c r="F9">
        <v>4</v>
      </c>
      <c r="G9">
        <v>25</v>
      </c>
      <c r="H9">
        <v>100</v>
      </c>
      <c r="I9" t="s">
        <v>18</v>
      </c>
      <c r="J9" t="s">
        <v>34</v>
      </c>
    </row>
    <row r="10" spans="1:10" x14ac:dyDescent="0.25">
      <c r="A10" s="1">
        <v>45273</v>
      </c>
      <c r="B10" t="s">
        <v>35</v>
      </c>
      <c r="C10" t="s">
        <v>11</v>
      </c>
      <c r="D10">
        <v>63</v>
      </c>
      <c r="E10" t="s">
        <v>21</v>
      </c>
      <c r="F10">
        <v>2</v>
      </c>
      <c r="G10">
        <v>300</v>
      </c>
      <c r="H10">
        <v>600</v>
      </c>
      <c r="I10" t="s">
        <v>36</v>
      </c>
      <c r="J10" t="s">
        <v>34</v>
      </c>
    </row>
    <row r="11" spans="1:10" x14ac:dyDescent="0.25">
      <c r="A11" s="1">
        <v>45206</v>
      </c>
      <c r="B11" t="s">
        <v>37</v>
      </c>
      <c r="C11" t="s">
        <v>16</v>
      </c>
      <c r="D11">
        <v>52</v>
      </c>
      <c r="E11" t="s">
        <v>17</v>
      </c>
      <c r="F11">
        <v>4</v>
      </c>
      <c r="G11">
        <v>50</v>
      </c>
      <c r="H11">
        <v>200</v>
      </c>
      <c r="I11" t="s">
        <v>38</v>
      </c>
      <c r="J11" t="s">
        <v>27</v>
      </c>
    </row>
    <row r="12" spans="1:10" x14ac:dyDescent="0.25">
      <c r="A12" s="1">
        <v>44971</v>
      </c>
      <c r="B12" t="s">
        <v>39</v>
      </c>
      <c r="C12" t="s">
        <v>11</v>
      </c>
      <c r="D12">
        <v>23</v>
      </c>
      <c r="E12" t="s">
        <v>17</v>
      </c>
      <c r="F12">
        <v>2</v>
      </c>
      <c r="G12">
        <v>50</v>
      </c>
      <c r="H12">
        <v>100</v>
      </c>
      <c r="I12" t="s">
        <v>18</v>
      </c>
      <c r="J12" t="s">
        <v>30</v>
      </c>
    </row>
    <row r="13" spans="1:10" x14ac:dyDescent="0.25">
      <c r="A13" s="1">
        <v>45229</v>
      </c>
      <c r="B13" t="s">
        <v>40</v>
      </c>
      <c r="C13" t="s">
        <v>11</v>
      </c>
      <c r="D13">
        <v>35</v>
      </c>
      <c r="E13" t="s">
        <v>12</v>
      </c>
      <c r="F13">
        <v>3</v>
      </c>
      <c r="G13">
        <v>25</v>
      </c>
      <c r="H13">
        <v>75</v>
      </c>
      <c r="I13" t="s">
        <v>38</v>
      </c>
      <c r="J13" t="s">
        <v>19</v>
      </c>
    </row>
    <row r="14" spans="1:10" x14ac:dyDescent="0.25">
      <c r="A14" s="1">
        <v>45143</v>
      </c>
      <c r="B14" t="s">
        <v>41</v>
      </c>
      <c r="C14" t="s">
        <v>11</v>
      </c>
      <c r="D14">
        <v>22</v>
      </c>
      <c r="E14" t="s">
        <v>21</v>
      </c>
      <c r="F14">
        <v>3</v>
      </c>
      <c r="G14">
        <v>500</v>
      </c>
      <c r="H14">
        <v>1500</v>
      </c>
      <c r="I14" t="s">
        <v>42</v>
      </c>
      <c r="J14" t="s">
        <v>27</v>
      </c>
    </row>
    <row r="15" spans="1:10" x14ac:dyDescent="0.25">
      <c r="A15" s="1">
        <v>44943</v>
      </c>
      <c r="B15" t="s">
        <v>43</v>
      </c>
      <c r="C15" t="s">
        <v>11</v>
      </c>
      <c r="D15">
        <v>64</v>
      </c>
      <c r="E15" t="s">
        <v>17</v>
      </c>
      <c r="F15">
        <v>4</v>
      </c>
      <c r="G15">
        <v>30</v>
      </c>
      <c r="H15">
        <v>120</v>
      </c>
      <c r="I15" t="s">
        <v>22</v>
      </c>
      <c r="J15" t="s">
        <v>30</v>
      </c>
    </row>
    <row r="16" spans="1:10" x14ac:dyDescent="0.25">
      <c r="A16" s="1">
        <v>44942</v>
      </c>
      <c r="B16" t="s">
        <v>44</v>
      </c>
      <c r="C16" t="s">
        <v>16</v>
      </c>
      <c r="D16">
        <v>42</v>
      </c>
      <c r="E16" t="s">
        <v>21</v>
      </c>
      <c r="F16">
        <v>4</v>
      </c>
      <c r="G16">
        <v>500</v>
      </c>
      <c r="H16">
        <v>2000</v>
      </c>
      <c r="I16" t="s">
        <v>22</v>
      </c>
      <c r="J16" t="s">
        <v>19</v>
      </c>
    </row>
    <row r="17" spans="1:10" x14ac:dyDescent="0.25">
      <c r="A17" s="1">
        <v>44974</v>
      </c>
      <c r="B17" t="s">
        <v>45</v>
      </c>
      <c r="C17" t="s">
        <v>11</v>
      </c>
      <c r="D17">
        <v>19</v>
      </c>
      <c r="E17" t="s">
        <v>17</v>
      </c>
      <c r="F17">
        <v>3</v>
      </c>
      <c r="G17">
        <v>500</v>
      </c>
      <c r="H17">
        <v>1500</v>
      </c>
      <c r="I17" t="s">
        <v>18</v>
      </c>
      <c r="J17" t="s">
        <v>14</v>
      </c>
    </row>
    <row r="18" spans="1:10" x14ac:dyDescent="0.25">
      <c r="A18" s="1">
        <v>45038</v>
      </c>
      <c r="B18" t="s">
        <v>46</v>
      </c>
      <c r="C18" t="s">
        <v>16</v>
      </c>
      <c r="D18">
        <v>27</v>
      </c>
      <c r="E18" t="s">
        <v>17</v>
      </c>
      <c r="F18">
        <v>4</v>
      </c>
      <c r="G18">
        <v>25</v>
      </c>
      <c r="H18">
        <v>100</v>
      </c>
      <c r="I18" t="s">
        <v>29</v>
      </c>
      <c r="J18" t="s">
        <v>27</v>
      </c>
    </row>
    <row r="19" spans="1:10" x14ac:dyDescent="0.25">
      <c r="A19" s="1">
        <v>45046</v>
      </c>
      <c r="B19" t="s">
        <v>47</v>
      </c>
      <c r="C19" t="s">
        <v>16</v>
      </c>
      <c r="D19">
        <v>47</v>
      </c>
      <c r="E19" t="s">
        <v>21</v>
      </c>
      <c r="F19">
        <v>2</v>
      </c>
      <c r="G19">
        <v>25</v>
      </c>
      <c r="H19">
        <v>50</v>
      </c>
      <c r="I19" t="s">
        <v>29</v>
      </c>
      <c r="J19" t="s">
        <v>25</v>
      </c>
    </row>
    <row r="20" spans="1:10" x14ac:dyDescent="0.25">
      <c r="A20" s="1">
        <v>45185</v>
      </c>
      <c r="B20" t="s">
        <v>48</v>
      </c>
      <c r="C20" t="s">
        <v>16</v>
      </c>
      <c r="D20">
        <v>62</v>
      </c>
      <c r="E20" t="s">
        <v>17</v>
      </c>
      <c r="F20">
        <v>2</v>
      </c>
      <c r="G20">
        <v>25</v>
      </c>
      <c r="H20">
        <v>50</v>
      </c>
      <c r="I20" t="s">
        <v>49</v>
      </c>
      <c r="J20" t="s">
        <v>27</v>
      </c>
    </row>
    <row r="21" spans="1:10" x14ac:dyDescent="0.25">
      <c r="A21" s="1">
        <v>45235</v>
      </c>
      <c r="B21" t="s">
        <v>50</v>
      </c>
      <c r="C21" t="s">
        <v>11</v>
      </c>
      <c r="D21">
        <v>22</v>
      </c>
      <c r="E21" t="s">
        <v>17</v>
      </c>
      <c r="F21">
        <v>3</v>
      </c>
      <c r="G21">
        <v>300</v>
      </c>
      <c r="H21">
        <v>900</v>
      </c>
      <c r="I21" t="s">
        <v>13</v>
      </c>
      <c r="J21" t="s">
        <v>25</v>
      </c>
    </row>
    <row r="22" spans="1:10" x14ac:dyDescent="0.25">
      <c r="A22" s="1">
        <v>44940</v>
      </c>
      <c r="B22" t="s">
        <v>51</v>
      </c>
      <c r="C22" t="s">
        <v>16</v>
      </c>
      <c r="D22">
        <v>50</v>
      </c>
      <c r="E22" t="s">
        <v>12</v>
      </c>
      <c r="F22">
        <v>1</v>
      </c>
      <c r="G22">
        <v>500</v>
      </c>
      <c r="H22">
        <v>500</v>
      </c>
      <c r="I22" t="s">
        <v>22</v>
      </c>
      <c r="J22" t="s">
        <v>27</v>
      </c>
    </row>
    <row r="23" spans="1:10" x14ac:dyDescent="0.25">
      <c r="A23" s="1">
        <v>45214</v>
      </c>
      <c r="B23" t="s">
        <v>52</v>
      </c>
      <c r="C23" t="s">
        <v>11</v>
      </c>
      <c r="D23">
        <v>18</v>
      </c>
      <c r="E23" t="s">
        <v>17</v>
      </c>
      <c r="F23">
        <v>2</v>
      </c>
      <c r="G23">
        <v>50</v>
      </c>
      <c r="H23">
        <v>100</v>
      </c>
      <c r="I23" t="s">
        <v>38</v>
      </c>
      <c r="J23" t="s">
        <v>25</v>
      </c>
    </row>
    <row r="24" spans="1:10" x14ac:dyDescent="0.25">
      <c r="A24" s="1">
        <v>45028</v>
      </c>
      <c r="B24" t="s">
        <v>53</v>
      </c>
      <c r="C24" t="s">
        <v>16</v>
      </c>
      <c r="D24">
        <v>35</v>
      </c>
      <c r="E24" t="s">
        <v>17</v>
      </c>
      <c r="F24">
        <v>4</v>
      </c>
      <c r="G24">
        <v>30</v>
      </c>
      <c r="H24">
        <v>120</v>
      </c>
      <c r="I24" t="s">
        <v>29</v>
      </c>
      <c r="J24" t="s">
        <v>34</v>
      </c>
    </row>
    <row r="25" spans="1:10" x14ac:dyDescent="0.25">
      <c r="A25" s="1">
        <v>45259</v>
      </c>
      <c r="B25" t="s">
        <v>54</v>
      </c>
      <c r="C25" t="s">
        <v>16</v>
      </c>
      <c r="D25">
        <v>49</v>
      </c>
      <c r="E25" t="s">
        <v>17</v>
      </c>
      <c r="F25">
        <v>1</v>
      </c>
      <c r="G25">
        <v>300</v>
      </c>
      <c r="H25">
        <v>300</v>
      </c>
      <c r="I25" t="s">
        <v>13</v>
      </c>
      <c r="J25" t="s">
        <v>34</v>
      </c>
    </row>
    <row r="26" spans="1:10" x14ac:dyDescent="0.25">
      <c r="A26" s="1">
        <v>45286</v>
      </c>
      <c r="B26" t="s">
        <v>55</v>
      </c>
      <c r="C26" t="s">
        <v>16</v>
      </c>
      <c r="D26">
        <v>64</v>
      </c>
      <c r="E26" t="s">
        <v>12</v>
      </c>
      <c r="F26">
        <v>1</v>
      </c>
      <c r="G26">
        <v>50</v>
      </c>
      <c r="H26">
        <v>50</v>
      </c>
      <c r="I26" t="s">
        <v>36</v>
      </c>
      <c r="J26" t="s">
        <v>30</v>
      </c>
    </row>
    <row r="27" spans="1:10" x14ac:dyDescent="0.25">
      <c r="A27" s="1">
        <v>45206</v>
      </c>
      <c r="B27" t="s">
        <v>56</v>
      </c>
      <c r="C27" t="s">
        <v>16</v>
      </c>
      <c r="D27">
        <v>28</v>
      </c>
      <c r="E27" t="s">
        <v>21</v>
      </c>
      <c r="F27">
        <v>2</v>
      </c>
      <c r="G27">
        <v>500</v>
      </c>
      <c r="H27">
        <v>1000</v>
      </c>
      <c r="I27" t="s">
        <v>38</v>
      </c>
      <c r="J27" t="s">
        <v>27</v>
      </c>
    </row>
    <row r="28" spans="1:10" x14ac:dyDescent="0.25">
      <c r="A28" s="1">
        <v>45141</v>
      </c>
      <c r="B28" t="s">
        <v>57</v>
      </c>
      <c r="C28" t="s">
        <v>16</v>
      </c>
      <c r="D28">
        <v>38</v>
      </c>
      <c r="E28" t="s">
        <v>12</v>
      </c>
      <c r="F28">
        <v>2</v>
      </c>
      <c r="G28">
        <v>25</v>
      </c>
      <c r="H28">
        <v>50</v>
      </c>
      <c r="I28" t="s">
        <v>42</v>
      </c>
      <c r="J28" t="s">
        <v>58</v>
      </c>
    </row>
    <row r="29" spans="1:10" x14ac:dyDescent="0.25">
      <c r="A29" s="1">
        <v>45039</v>
      </c>
      <c r="B29" t="s">
        <v>59</v>
      </c>
      <c r="C29" t="s">
        <v>16</v>
      </c>
      <c r="D29">
        <v>43</v>
      </c>
      <c r="E29" t="s">
        <v>12</v>
      </c>
      <c r="F29">
        <v>1</v>
      </c>
      <c r="G29">
        <v>500</v>
      </c>
      <c r="H29">
        <v>500</v>
      </c>
      <c r="I29" t="s">
        <v>29</v>
      </c>
      <c r="J29" t="s">
        <v>25</v>
      </c>
    </row>
    <row r="30" spans="1:10" x14ac:dyDescent="0.25">
      <c r="A30" s="1">
        <v>45156</v>
      </c>
      <c r="B30" t="s">
        <v>60</v>
      </c>
      <c r="C30" t="s">
        <v>16</v>
      </c>
      <c r="D30">
        <v>42</v>
      </c>
      <c r="E30" t="s">
        <v>21</v>
      </c>
      <c r="F30">
        <v>1</v>
      </c>
      <c r="G30">
        <v>30</v>
      </c>
      <c r="H30">
        <v>30</v>
      </c>
      <c r="I30" t="s">
        <v>42</v>
      </c>
      <c r="J30" t="s">
        <v>14</v>
      </c>
    </row>
    <row r="31" spans="1:10" x14ac:dyDescent="0.25">
      <c r="A31" s="1">
        <v>45228</v>
      </c>
      <c r="B31" t="s">
        <v>61</v>
      </c>
      <c r="C31" t="s">
        <v>16</v>
      </c>
      <c r="D31">
        <v>39</v>
      </c>
      <c r="E31" t="s">
        <v>12</v>
      </c>
      <c r="F31">
        <v>3</v>
      </c>
      <c r="G31">
        <v>300</v>
      </c>
      <c r="H31">
        <v>900</v>
      </c>
      <c r="I31" t="s">
        <v>38</v>
      </c>
      <c r="J31" t="s">
        <v>25</v>
      </c>
    </row>
    <row r="32" spans="1:10" x14ac:dyDescent="0.25">
      <c r="A32" s="1">
        <v>45069</v>
      </c>
      <c r="B32" t="s">
        <v>62</v>
      </c>
      <c r="C32" t="s">
        <v>11</v>
      </c>
      <c r="D32">
        <v>44</v>
      </c>
      <c r="E32" t="s">
        <v>21</v>
      </c>
      <c r="F32">
        <v>4</v>
      </c>
      <c r="G32">
        <v>300</v>
      </c>
      <c r="H32">
        <v>1200</v>
      </c>
      <c r="I32" t="s">
        <v>24</v>
      </c>
      <c r="J32" t="s">
        <v>30</v>
      </c>
    </row>
    <row r="33" spans="1:10" x14ac:dyDescent="0.25">
      <c r="A33" s="1">
        <v>44930</v>
      </c>
      <c r="B33" t="s">
        <v>63</v>
      </c>
      <c r="C33" t="s">
        <v>11</v>
      </c>
      <c r="D33">
        <v>30</v>
      </c>
      <c r="E33" t="s">
        <v>12</v>
      </c>
      <c r="F33">
        <v>3</v>
      </c>
      <c r="G33">
        <v>30</v>
      </c>
      <c r="H33">
        <v>90</v>
      </c>
      <c r="I33" t="s">
        <v>22</v>
      </c>
      <c r="J33" t="s">
        <v>34</v>
      </c>
    </row>
    <row r="34" spans="1:10" x14ac:dyDescent="0.25">
      <c r="A34" s="1">
        <v>45008</v>
      </c>
      <c r="B34" t="s">
        <v>64</v>
      </c>
      <c r="C34" t="s">
        <v>16</v>
      </c>
      <c r="D34">
        <v>50</v>
      </c>
      <c r="E34" t="s">
        <v>21</v>
      </c>
      <c r="F34">
        <v>2</v>
      </c>
      <c r="G34">
        <v>50</v>
      </c>
      <c r="H34">
        <v>100</v>
      </c>
      <c r="I34" t="s">
        <v>32</v>
      </c>
      <c r="J34" t="s">
        <v>58</v>
      </c>
    </row>
    <row r="35" spans="1:10" x14ac:dyDescent="0.25">
      <c r="A35" s="1">
        <v>45284</v>
      </c>
      <c r="B35" t="s">
        <v>65</v>
      </c>
      <c r="C35" t="s">
        <v>16</v>
      </c>
      <c r="D35">
        <v>51</v>
      </c>
      <c r="E35" t="s">
        <v>17</v>
      </c>
      <c r="F35">
        <v>3</v>
      </c>
      <c r="G35">
        <v>50</v>
      </c>
      <c r="H35">
        <v>150</v>
      </c>
      <c r="I35" t="s">
        <v>36</v>
      </c>
      <c r="J35" t="s">
        <v>25</v>
      </c>
    </row>
    <row r="36" spans="1:10" x14ac:dyDescent="0.25">
      <c r="A36" s="1">
        <v>45143</v>
      </c>
      <c r="B36" t="s">
        <v>66</v>
      </c>
      <c r="C36" t="s">
        <v>16</v>
      </c>
      <c r="D36">
        <v>58</v>
      </c>
      <c r="E36" t="s">
        <v>12</v>
      </c>
      <c r="F36">
        <v>3</v>
      </c>
      <c r="G36">
        <v>300</v>
      </c>
      <c r="H36">
        <v>900</v>
      </c>
      <c r="I36" t="s">
        <v>42</v>
      </c>
      <c r="J36" t="s">
        <v>27</v>
      </c>
    </row>
    <row r="37" spans="1:10" x14ac:dyDescent="0.25">
      <c r="A37" s="1">
        <v>45101</v>
      </c>
      <c r="B37" t="s">
        <v>67</v>
      </c>
      <c r="C37" t="s">
        <v>11</v>
      </c>
      <c r="D37">
        <v>52</v>
      </c>
      <c r="E37" t="s">
        <v>12</v>
      </c>
      <c r="F37">
        <v>3</v>
      </c>
      <c r="G37">
        <v>300</v>
      </c>
      <c r="H37">
        <v>900</v>
      </c>
      <c r="I37" t="s">
        <v>68</v>
      </c>
      <c r="J37" t="s">
        <v>27</v>
      </c>
    </row>
    <row r="38" spans="1:10" x14ac:dyDescent="0.25">
      <c r="A38" s="1">
        <v>45069</v>
      </c>
      <c r="B38" t="s">
        <v>69</v>
      </c>
      <c r="C38" t="s">
        <v>16</v>
      </c>
      <c r="D38">
        <v>18</v>
      </c>
      <c r="E38" t="s">
        <v>12</v>
      </c>
      <c r="F38">
        <v>3</v>
      </c>
      <c r="G38">
        <v>25</v>
      </c>
      <c r="H38">
        <v>75</v>
      </c>
      <c r="I38" t="s">
        <v>24</v>
      </c>
      <c r="J38" t="s">
        <v>30</v>
      </c>
    </row>
    <row r="39" spans="1:10" x14ac:dyDescent="0.25">
      <c r="A39" s="1">
        <v>45006</v>
      </c>
      <c r="B39" t="s">
        <v>70</v>
      </c>
      <c r="C39" t="s">
        <v>11</v>
      </c>
      <c r="D39">
        <v>38</v>
      </c>
      <c r="E39" t="s">
        <v>12</v>
      </c>
      <c r="F39">
        <v>4</v>
      </c>
      <c r="G39">
        <v>50</v>
      </c>
      <c r="H39">
        <v>200</v>
      </c>
      <c r="I39" t="s">
        <v>32</v>
      </c>
      <c r="J39" t="s">
        <v>30</v>
      </c>
    </row>
    <row r="40" spans="1:10" x14ac:dyDescent="0.25">
      <c r="A40" s="1">
        <v>45037</v>
      </c>
      <c r="B40" t="s">
        <v>71</v>
      </c>
      <c r="C40" t="s">
        <v>11</v>
      </c>
      <c r="D40">
        <v>23</v>
      </c>
      <c r="E40" t="s">
        <v>17</v>
      </c>
      <c r="F40">
        <v>4</v>
      </c>
      <c r="G40">
        <v>30</v>
      </c>
      <c r="H40">
        <v>120</v>
      </c>
      <c r="I40" t="s">
        <v>29</v>
      </c>
      <c r="J40" t="s">
        <v>14</v>
      </c>
    </row>
    <row r="41" spans="1:10" x14ac:dyDescent="0.25">
      <c r="A41" s="1">
        <v>45099</v>
      </c>
      <c r="B41" t="s">
        <v>72</v>
      </c>
      <c r="C41" t="s">
        <v>11</v>
      </c>
      <c r="D41">
        <v>45</v>
      </c>
      <c r="E41" t="s">
        <v>12</v>
      </c>
      <c r="F41">
        <v>1</v>
      </c>
      <c r="G41">
        <v>50</v>
      </c>
      <c r="H41">
        <v>50</v>
      </c>
      <c r="I41" t="s">
        <v>68</v>
      </c>
      <c r="J41" t="s">
        <v>58</v>
      </c>
    </row>
    <row r="42" spans="1:10" x14ac:dyDescent="0.25">
      <c r="A42" s="1">
        <v>44979</v>
      </c>
      <c r="B42" t="s">
        <v>73</v>
      </c>
      <c r="C42" t="s">
        <v>11</v>
      </c>
      <c r="D42">
        <v>34</v>
      </c>
      <c r="E42" t="s">
        <v>17</v>
      </c>
      <c r="F42">
        <v>2</v>
      </c>
      <c r="G42">
        <v>25</v>
      </c>
      <c r="H42">
        <v>50</v>
      </c>
      <c r="I42" t="s">
        <v>18</v>
      </c>
      <c r="J42" t="s">
        <v>34</v>
      </c>
    </row>
    <row r="43" spans="1:10" x14ac:dyDescent="0.25">
      <c r="A43" s="1">
        <v>44974</v>
      </c>
      <c r="B43" t="s">
        <v>74</v>
      </c>
      <c r="C43" t="s">
        <v>11</v>
      </c>
      <c r="D43">
        <v>22</v>
      </c>
      <c r="E43" t="s">
        <v>17</v>
      </c>
      <c r="F43">
        <v>3</v>
      </c>
      <c r="G43">
        <v>300</v>
      </c>
      <c r="H43">
        <v>900</v>
      </c>
      <c r="I43" t="s">
        <v>18</v>
      </c>
      <c r="J43" t="s">
        <v>14</v>
      </c>
    </row>
    <row r="44" spans="1:10" x14ac:dyDescent="0.25">
      <c r="A44" s="1">
        <v>45121</v>
      </c>
      <c r="B44" t="s">
        <v>75</v>
      </c>
      <c r="C44" t="s">
        <v>16</v>
      </c>
      <c r="D44">
        <v>48</v>
      </c>
      <c r="E44" t="s">
        <v>17</v>
      </c>
      <c r="F44">
        <v>1</v>
      </c>
      <c r="G44">
        <v>300</v>
      </c>
      <c r="H44">
        <v>300</v>
      </c>
      <c r="I44" t="s">
        <v>76</v>
      </c>
      <c r="J44" t="s">
        <v>14</v>
      </c>
    </row>
    <row r="45" spans="1:10" x14ac:dyDescent="0.25">
      <c r="A45" s="1">
        <v>44976</v>
      </c>
      <c r="B45" t="s">
        <v>77</v>
      </c>
      <c r="C45" t="s">
        <v>16</v>
      </c>
      <c r="D45">
        <v>22</v>
      </c>
      <c r="E45" t="s">
        <v>17</v>
      </c>
      <c r="F45">
        <v>1</v>
      </c>
      <c r="G45">
        <v>25</v>
      </c>
      <c r="H45">
        <v>25</v>
      </c>
      <c r="I45" t="s">
        <v>18</v>
      </c>
      <c r="J45" t="s">
        <v>25</v>
      </c>
    </row>
    <row r="46" spans="1:10" x14ac:dyDescent="0.25">
      <c r="A46" s="1">
        <v>45110</v>
      </c>
      <c r="B46" t="s">
        <v>78</v>
      </c>
      <c r="C46" t="s">
        <v>16</v>
      </c>
      <c r="D46">
        <v>55</v>
      </c>
      <c r="E46" t="s">
        <v>21</v>
      </c>
      <c r="F46">
        <v>1</v>
      </c>
      <c r="G46">
        <v>30</v>
      </c>
      <c r="H46">
        <v>30</v>
      </c>
      <c r="I46" t="s">
        <v>76</v>
      </c>
      <c r="J46" t="s">
        <v>19</v>
      </c>
    </row>
    <row r="47" spans="1:10" x14ac:dyDescent="0.25">
      <c r="A47" s="1">
        <v>45103</v>
      </c>
      <c r="B47" t="s">
        <v>79</v>
      </c>
      <c r="C47" t="s">
        <v>16</v>
      </c>
      <c r="D47">
        <v>20</v>
      </c>
      <c r="E47" t="s">
        <v>21</v>
      </c>
      <c r="F47">
        <v>4</v>
      </c>
      <c r="G47">
        <v>300</v>
      </c>
      <c r="H47">
        <v>1200</v>
      </c>
      <c r="I47" t="s">
        <v>68</v>
      </c>
      <c r="J47" t="s">
        <v>19</v>
      </c>
    </row>
    <row r="48" spans="1:10" x14ac:dyDescent="0.25">
      <c r="A48" s="1">
        <v>45236</v>
      </c>
      <c r="B48" t="s">
        <v>80</v>
      </c>
      <c r="C48" t="s">
        <v>16</v>
      </c>
      <c r="D48">
        <v>40</v>
      </c>
      <c r="E48" t="s">
        <v>12</v>
      </c>
      <c r="F48">
        <v>3</v>
      </c>
      <c r="G48">
        <v>500</v>
      </c>
      <c r="H48">
        <v>1500</v>
      </c>
      <c r="I48" t="s">
        <v>13</v>
      </c>
      <c r="J48" t="s">
        <v>19</v>
      </c>
    </row>
    <row r="49" spans="1:10" x14ac:dyDescent="0.25">
      <c r="A49" s="1">
        <v>45062</v>
      </c>
      <c r="B49" t="s">
        <v>81</v>
      </c>
      <c r="C49" t="s">
        <v>11</v>
      </c>
      <c r="D49">
        <v>54</v>
      </c>
      <c r="E49" t="s">
        <v>21</v>
      </c>
      <c r="F49">
        <v>3</v>
      </c>
      <c r="G49">
        <v>300</v>
      </c>
      <c r="H49">
        <v>900</v>
      </c>
      <c r="I49" t="s">
        <v>24</v>
      </c>
      <c r="J49" t="s">
        <v>30</v>
      </c>
    </row>
    <row r="50" spans="1:10" x14ac:dyDescent="0.25">
      <c r="A50" s="1">
        <v>44949</v>
      </c>
      <c r="B50" t="s">
        <v>82</v>
      </c>
      <c r="C50" t="s">
        <v>16</v>
      </c>
      <c r="D50">
        <v>54</v>
      </c>
      <c r="E50" t="s">
        <v>21</v>
      </c>
      <c r="F50">
        <v>2</v>
      </c>
      <c r="G50">
        <v>500</v>
      </c>
      <c r="H50">
        <v>1000</v>
      </c>
      <c r="I50" t="s">
        <v>22</v>
      </c>
      <c r="J50" t="s">
        <v>19</v>
      </c>
    </row>
    <row r="51" spans="1:10" x14ac:dyDescent="0.25">
      <c r="A51" s="1">
        <v>45162</v>
      </c>
      <c r="B51" t="s">
        <v>83</v>
      </c>
      <c r="C51" t="s">
        <v>16</v>
      </c>
      <c r="D51">
        <v>27</v>
      </c>
      <c r="E51" t="s">
        <v>12</v>
      </c>
      <c r="F51">
        <v>3</v>
      </c>
      <c r="G51">
        <v>25</v>
      </c>
      <c r="H51">
        <v>75</v>
      </c>
      <c r="I51" t="s">
        <v>42</v>
      </c>
      <c r="J51" t="s">
        <v>58</v>
      </c>
    </row>
    <row r="52" spans="1:10" x14ac:dyDescent="0.25">
      <c r="A52" s="1">
        <v>45201</v>
      </c>
      <c r="B52" t="s">
        <v>84</v>
      </c>
      <c r="C52" t="s">
        <v>11</v>
      </c>
      <c r="D52">
        <v>27</v>
      </c>
      <c r="E52" t="s">
        <v>12</v>
      </c>
      <c r="F52">
        <v>3</v>
      </c>
      <c r="G52">
        <v>25</v>
      </c>
      <c r="H52">
        <v>75</v>
      </c>
      <c r="I52" t="s">
        <v>38</v>
      </c>
      <c r="J52" t="s">
        <v>19</v>
      </c>
    </row>
    <row r="53" spans="1:10" x14ac:dyDescent="0.25">
      <c r="A53" s="1">
        <v>44990</v>
      </c>
      <c r="B53" t="s">
        <v>85</v>
      </c>
      <c r="C53" t="s">
        <v>16</v>
      </c>
      <c r="D53">
        <v>36</v>
      </c>
      <c r="E53" t="s">
        <v>12</v>
      </c>
      <c r="F53">
        <v>1</v>
      </c>
      <c r="G53">
        <v>300</v>
      </c>
      <c r="H53">
        <v>300</v>
      </c>
      <c r="I53" t="s">
        <v>32</v>
      </c>
      <c r="J53" t="s">
        <v>25</v>
      </c>
    </row>
    <row r="54" spans="1:10" x14ac:dyDescent="0.25">
      <c r="A54" s="1">
        <v>45120</v>
      </c>
      <c r="B54" t="s">
        <v>86</v>
      </c>
      <c r="C54" t="s">
        <v>11</v>
      </c>
      <c r="D54">
        <v>34</v>
      </c>
      <c r="E54" t="s">
        <v>21</v>
      </c>
      <c r="F54">
        <v>2</v>
      </c>
      <c r="G54">
        <v>50</v>
      </c>
      <c r="H54">
        <v>100</v>
      </c>
      <c r="I54" t="s">
        <v>76</v>
      </c>
      <c r="J54" t="s">
        <v>58</v>
      </c>
    </row>
    <row r="55" spans="1:10" x14ac:dyDescent="0.25">
      <c r="A55" s="1">
        <v>44967</v>
      </c>
      <c r="B55" t="s">
        <v>87</v>
      </c>
      <c r="C55" t="s">
        <v>16</v>
      </c>
      <c r="D55">
        <v>38</v>
      </c>
      <c r="E55" t="s">
        <v>21</v>
      </c>
      <c r="F55">
        <v>3</v>
      </c>
      <c r="G55">
        <v>500</v>
      </c>
      <c r="H55">
        <v>1500</v>
      </c>
      <c r="I55" t="s">
        <v>18</v>
      </c>
      <c r="J55" t="s">
        <v>14</v>
      </c>
    </row>
    <row r="56" spans="1:10" x14ac:dyDescent="0.25">
      <c r="A56" s="1">
        <v>45209</v>
      </c>
      <c r="B56" t="s">
        <v>88</v>
      </c>
      <c r="C56" t="s">
        <v>11</v>
      </c>
      <c r="D56">
        <v>31</v>
      </c>
      <c r="E56" t="s">
        <v>12</v>
      </c>
      <c r="F56">
        <v>4</v>
      </c>
      <c r="G56">
        <v>30</v>
      </c>
      <c r="H56">
        <v>120</v>
      </c>
      <c r="I56" t="s">
        <v>38</v>
      </c>
      <c r="J56" t="s">
        <v>30</v>
      </c>
    </row>
    <row r="57" spans="1:10" x14ac:dyDescent="0.25">
      <c r="A57" s="1">
        <v>45077</v>
      </c>
      <c r="B57" t="s">
        <v>89</v>
      </c>
      <c r="C57" t="s">
        <v>16</v>
      </c>
      <c r="D57">
        <v>26</v>
      </c>
      <c r="E57" t="s">
        <v>17</v>
      </c>
      <c r="F57">
        <v>3</v>
      </c>
      <c r="G57">
        <v>300</v>
      </c>
      <c r="H57">
        <v>900</v>
      </c>
      <c r="I57" t="s">
        <v>24</v>
      </c>
      <c r="J57" t="s">
        <v>34</v>
      </c>
    </row>
    <row r="58" spans="1:10" x14ac:dyDescent="0.25">
      <c r="A58" s="1">
        <v>45248</v>
      </c>
      <c r="B58" t="s">
        <v>90</v>
      </c>
      <c r="C58" t="s">
        <v>16</v>
      </c>
      <c r="D58">
        <v>63</v>
      </c>
      <c r="E58" t="s">
        <v>12</v>
      </c>
      <c r="F58">
        <v>1</v>
      </c>
      <c r="G58">
        <v>30</v>
      </c>
      <c r="H58">
        <v>30</v>
      </c>
      <c r="I58" t="s">
        <v>13</v>
      </c>
      <c r="J58" t="s">
        <v>27</v>
      </c>
    </row>
    <row r="59" spans="1:10" x14ac:dyDescent="0.25">
      <c r="A59" s="1">
        <v>45243</v>
      </c>
      <c r="B59" t="s">
        <v>91</v>
      </c>
      <c r="C59" t="s">
        <v>11</v>
      </c>
      <c r="D59">
        <v>18</v>
      </c>
      <c r="E59" t="s">
        <v>17</v>
      </c>
      <c r="F59">
        <v>4</v>
      </c>
      <c r="G59">
        <v>300</v>
      </c>
      <c r="H59">
        <v>1200</v>
      </c>
      <c r="I59" t="s">
        <v>13</v>
      </c>
      <c r="J59" t="s">
        <v>19</v>
      </c>
    </row>
    <row r="60" spans="1:10" x14ac:dyDescent="0.25">
      <c r="A60" s="1">
        <v>45112</v>
      </c>
      <c r="B60" t="s">
        <v>92</v>
      </c>
      <c r="C60" t="s">
        <v>11</v>
      </c>
      <c r="D60">
        <v>62</v>
      </c>
      <c r="E60" t="s">
        <v>17</v>
      </c>
      <c r="F60">
        <v>1</v>
      </c>
      <c r="G60">
        <v>50</v>
      </c>
      <c r="H60">
        <v>50</v>
      </c>
      <c r="I60" t="s">
        <v>76</v>
      </c>
      <c r="J60" t="s">
        <v>34</v>
      </c>
    </row>
    <row r="61" spans="1:10" x14ac:dyDescent="0.25">
      <c r="A61" s="1">
        <v>45222</v>
      </c>
      <c r="B61" t="s">
        <v>93</v>
      </c>
      <c r="C61" t="s">
        <v>11</v>
      </c>
      <c r="D61">
        <v>30</v>
      </c>
      <c r="E61" t="s">
        <v>12</v>
      </c>
      <c r="F61">
        <v>3</v>
      </c>
      <c r="G61">
        <v>50</v>
      </c>
      <c r="H61">
        <v>150</v>
      </c>
      <c r="I61" t="s">
        <v>38</v>
      </c>
      <c r="J61" t="s">
        <v>19</v>
      </c>
    </row>
    <row r="62" spans="1:10" x14ac:dyDescent="0.25">
      <c r="A62" s="1">
        <v>45025</v>
      </c>
      <c r="B62" t="s">
        <v>94</v>
      </c>
      <c r="C62" t="s">
        <v>11</v>
      </c>
      <c r="D62">
        <v>21</v>
      </c>
      <c r="E62" t="s">
        <v>12</v>
      </c>
      <c r="F62">
        <v>4</v>
      </c>
      <c r="G62">
        <v>50</v>
      </c>
      <c r="H62">
        <v>200</v>
      </c>
      <c r="I62" t="s">
        <v>29</v>
      </c>
      <c r="J62" t="s">
        <v>25</v>
      </c>
    </row>
    <row r="63" spans="1:10" x14ac:dyDescent="0.25">
      <c r="A63" s="1">
        <v>45287</v>
      </c>
      <c r="B63" t="s">
        <v>95</v>
      </c>
      <c r="C63" t="s">
        <v>11</v>
      </c>
      <c r="D63">
        <v>18</v>
      </c>
      <c r="E63" t="s">
        <v>12</v>
      </c>
      <c r="F63">
        <v>2</v>
      </c>
      <c r="G63">
        <v>50</v>
      </c>
      <c r="H63">
        <v>100</v>
      </c>
      <c r="I63" t="s">
        <v>36</v>
      </c>
      <c r="J63" t="s">
        <v>34</v>
      </c>
    </row>
    <row r="64" spans="1:10" x14ac:dyDescent="0.25">
      <c r="A64" s="1">
        <v>44962</v>
      </c>
      <c r="B64" t="s">
        <v>96</v>
      </c>
      <c r="C64" t="s">
        <v>11</v>
      </c>
      <c r="D64">
        <v>57</v>
      </c>
      <c r="E64" t="s">
        <v>21</v>
      </c>
      <c r="F64">
        <v>2</v>
      </c>
      <c r="G64">
        <v>25</v>
      </c>
      <c r="H64">
        <v>50</v>
      </c>
      <c r="I64" t="s">
        <v>18</v>
      </c>
      <c r="J64" t="s">
        <v>25</v>
      </c>
    </row>
    <row r="65" spans="1:10" x14ac:dyDescent="0.25">
      <c r="A65" s="1">
        <v>44950</v>
      </c>
      <c r="B65" t="s">
        <v>97</v>
      </c>
      <c r="C65" t="s">
        <v>11</v>
      </c>
      <c r="D65">
        <v>49</v>
      </c>
      <c r="E65" t="s">
        <v>17</v>
      </c>
      <c r="F65">
        <v>4</v>
      </c>
      <c r="G65">
        <v>25</v>
      </c>
      <c r="H65">
        <v>100</v>
      </c>
      <c r="I65" t="s">
        <v>22</v>
      </c>
      <c r="J65" t="s">
        <v>30</v>
      </c>
    </row>
    <row r="66" spans="1:10" x14ac:dyDescent="0.25">
      <c r="A66" s="1">
        <v>45265</v>
      </c>
      <c r="B66" t="s">
        <v>98</v>
      </c>
      <c r="C66" t="s">
        <v>11</v>
      </c>
      <c r="D66">
        <v>51</v>
      </c>
      <c r="E66" t="s">
        <v>21</v>
      </c>
      <c r="F66">
        <v>4</v>
      </c>
      <c r="G66">
        <v>500</v>
      </c>
      <c r="H66">
        <v>2000</v>
      </c>
      <c r="I66" t="s">
        <v>36</v>
      </c>
      <c r="J66" t="s">
        <v>30</v>
      </c>
    </row>
    <row r="67" spans="1:10" x14ac:dyDescent="0.25">
      <c r="A67" s="1">
        <v>45043</v>
      </c>
      <c r="B67" t="s">
        <v>99</v>
      </c>
      <c r="C67" t="s">
        <v>16</v>
      </c>
      <c r="D67">
        <v>45</v>
      </c>
      <c r="E67" t="s">
        <v>21</v>
      </c>
      <c r="F67">
        <v>1</v>
      </c>
      <c r="G67">
        <v>30</v>
      </c>
      <c r="H67">
        <v>30</v>
      </c>
      <c r="I67" t="s">
        <v>29</v>
      </c>
      <c r="J67" t="s">
        <v>58</v>
      </c>
    </row>
    <row r="68" spans="1:10" x14ac:dyDescent="0.25">
      <c r="A68" s="1">
        <v>45075</v>
      </c>
      <c r="B68" t="s">
        <v>100</v>
      </c>
      <c r="C68" t="s">
        <v>16</v>
      </c>
      <c r="D68">
        <v>48</v>
      </c>
      <c r="E68" t="s">
        <v>12</v>
      </c>
      <c r="F68">
        <v>4</v>
      </c>
      <c r="G68">
        <v>300</v>
      </c>
      <c r="H68">
        <v>1200</v>
      </c>
      <c r="I68" t="s">
        <v>24</v>
      </c>
      <c r="J68" t="s">
        <v>19</v>
      </c>
    </row>
    <row r="69" spans="1:10" x14ac:dyDescent="0.25">
      <c r="A69" s="1">
        <v>44967</v>
      </c>
      <c r="B69" t="s">
        <v>101</v>
      </c>
      <c r="C69" t="s">
        <v>11</v>
      </c>
      <c r="D69">
        <v>25</v>
      </c>
      <c r="E69" t="s">
        <v>21</v>
      </c>
      <c r="F69">
        <v>1</v>
      </c>
      <c r="G69">
        <v>300</v>
      </c>
      <c r="H69">
        <v>300</v>
      </c>
      <c r="I69" t="s">
        <v>18</v>
      </c>
      <c r="J69" t="s">
        <v>14</v>
      </c>
    </row>
    <row r="70" spans="1:10" x14ac:dyDescent="0.25">
      <c r="A70" s="1">
        <v>45046</v>
      </c>
      <c r="B70" t="s">
        <v>102</v>
      </c>
      <c r="C70" t="s">
        <v>16</v>
      </c>
      <c r="D70">
        <v>56</v>
      </c>
      <c r="E70" t="s">
        <v>12</v>
      </c>
      <c r="F70">
        <v>3</v>
      </c>
      <c r="G70">
        <v>25</v>
      </c>
      <c r="H70">
        <v>75</v>
      </c>
      <c r="I70" t="s">
        <v>29</v>
      </c>
      <c r="J70" t="s">
        <v>25</v>
      </c>
    </row>
    <row r="71" spans="1:10" x14ac:dyDescent="0.25">
      <c r="A71" s="1">
        <v>44978</v>
      </c>
      <c r="B71" t="s">
        <v>103</v>
      </c>
      <c r="C71" t="s">
        <v>16</v>
      </c>
      <c r="D71">
        <v>43</v>
      </c>
      <c r="E71" t="s">
        <v>17</v>
      </c>
      <c r="F71">
        <v>1</v>
      </c>
      <c r="G71">
        <v>300</v>
      </c>
      <c r="H71">
        <v>300</v>
      </c>
      <c r="I71" t="s">
        <v>18</v>
      </c>
      <c r="J71" t="s">
        <v>30</v>
      </c>
    </row>
    <row r="72" spans="1:10" x14ac:dyDescent="0.25">
      <c r="A72" s="1">
        <v>45121</v>
      </c>
      <c r="B72" t="s">
        <v>104</v>
      </c>
      <c r="C72" t="s">
        <v>16</v>
      </c>
      <c r="D72">
        <v>51</v>
      </c>
      <c r="E72" t="s">
        <v>12</v>
      </c>
      <c r="F72">
        <v>4</v>
      </c>
      <c r="G72">
        <v>25</v>
      </c>
      <c r="H72">
        <v>100</v>
      </c>
      <c r="I72" t="s">
        <v>76</v>
      </c>
      <c r="J72" t="s">
        <v>14</v>
      </c>
    </row>
    <row r="73" spans="1:10" x14ac:dyDescent="0.25">
      <c r="A73" s="1">
        <v>45069</v>
      </c>
      <c r="B73" t="s">
        <v>105</v>
      </c>
      <c r="C73" t="s">
        <v>16</v>
      </c>
      <c r="D73">
        <v>20</v>
      </c>
      <c r="E73" t="s">
        <v>21</v>
      </c>
      <c r="F73">
        <v>4</v>
      </c>
      <c r="G73">
        <v>500</v>
      </c>
      <c r="H73">
        <v>2000</v>
      </c>
      <c r="I73" t="s">
        <v>24</v>
      </c>
      <c r="J73" t="s">
        <v>30</v>
      </c>
    </row>
    <row r="74" spans="1:10" x14ac:dyDescent="0.25">
      <c r="A74" s="1">
        <v>45159</v>
      </c>
      <c r="B74" t="s">
        <v>106</v>
      </c>
      <c r="C74" t="s">
        <v>11</v>
      </c>
      <c r="D74">
        <v>29</v>
      </c>
      <c r="E74" t="s">
        <v>21</v>
      </c>
      <c r="F74">
        <v>3</v>
      </c>
      <c r="G74">
        <v>30</v>
      </c>
      <c r="H74">
        <v>90</v>
      </c>
      <c r="I74" t="s">
        <v>42</v>
      </c>
      <c r="J74" t="s">
        <v>19</v>
      </c>
    </row>
    <row r="75" spans="1:10" x14ac:dyDescent="0.25">
      <c r="A75" s="1">
        <v>45252</v>
      </c>
      <c r="B75" t="s">
        <v>107</v>
      </c>
      <c r="C75" t="s">
        <v>16</v>
      </c>
      <c r="D75">
        <v>18</v>
      </c>
      <c r="E75" t="s">
        <v>12</v>
      </c>
      <c r="F75">
        <v>4</v>
      </c>
      <c r="G75">
        <v>500</v>
      </c>
      <c r="H75">
        <v>2000</v>
      </c>
      <c r="I75" t="s">
        <v>13</v>
      </c>
      <c r="J75" t="s">
        <v>34</v>
      </c>
    </row>
    <row r="76" spans="1:10" x14ac:dyDescent="0.25">
      <c r="A76" s="1">
        <v>45113</v>
      </c>
      <c r="B76" t="s">
        <v>108</v>
      </c>
      <c r="C76" t="s">
        <v>11</v>
      </c>
      <c r="D76">
        <v>61</v>
      </c>
      <c r="E76" t="s">
        <v>12</v>
      </c>
      <c r="F76">
        <v>4</v>
      </c>
      <c r="G76">
        <v>50</v>
      </c>
      <c r="H76">
        <v>200</v>
      </c>
      <c r="I76" t="s">
        <v>76</v>
      </c>
      <c r="J76" t="s">
        <v>58</v>
      </c>
    </row>
    <row r="77" spans="1:10" x14ac:dyDescent="0.25">
      <c r="A77" s="1">
        <v>45010</v>
      </c>
      <c r="B77" t="s">
        <v>109</v>
      </c>
      <c r="C77" t="s">
        <v>16</v>
      </c>
      <c r="D77">
        <v>22</v>
      </c>
      <c r="E77" t="s">
        <v>21</v>
      </c>
      <c r="F77">
        <v>2</v>
      </c>
      <c r="G77">
        <v>50</v>
      </c>
      <c r="H77">
        <v>100</v>
      </c>
      <c r="I77" t="s">
        <v>32</v>
      </c>
      <c r="J77" t="s">
        <v>27</v>
      </c>
    </row>
    <row r="78" spans="1:10" x14ac:dyDescent="0.25">
      <c r="A78" s="1">
        <v>45116</v>
      </c>
      <c r="B78" t="s">
        <v>110</v>
      </c>
      <c r="C78" t="s">
        <v>16</v>
      </c>
      <c r="D78">
        <v>47</v>
      </c>
      <c r="E78" t="s">
        <v>17</v>
      </c>
      <c r="F78">
        <v>2</v>
      </c>
      <c r="G78">
        <v>50</v>
      </c>
      <c r="H78">
        <v>100</v>
      </c>
      <c r="I78" t="s">
        <v>76</v>
      </c>
      <c r="J78" t="s">
        <v>25</v>
      </c>
    </row>
    <row r="79" spans="1:10" x14ac:dyDescent="0.25">
      <c r="A79" s="1">
        <v>45108</v>
      </c>
      <c r="B79" t="s">
        <v>111</v>
      </c>
      <c r="C79" t="s">
        <v>16</v>
      </c>
      <c r="D79">
        <v>47</v>
      </c>
      <c r="E79" t="s">
        <v>17</v>
      </c>
      <c r="F79">
        <v>3</v>
      </c>
      <c r="G79">
        <v>500</v>
      </c>
      <c r="H79">
        <v>1500</v>
      </c>
      <c r="I79" t="s">
        <v>76</v>
      </c>
      <c r="J79" t="s">
        <v>27</v>
      </c>
    </row>
    <row r="80" spans="1:10" x14ac:dyDescent="0.25">
      <c r="A80" s="1">
        <v>45034</v>
      </c>
      <c r="B80" t="s">
        <v>112</v>
      </c>
      <c r="C80" t="s">
        <v>11</v>
      </c>
      <c r="D80">
        <v>34</v>
      </c>
      <c r="E80" t="s">
        <v>12</v>
      </c>
      <c r="F80">
        <v>1</v>
      </c>
      <c r="G80">
        <v>300</v>
      </c>
      <c r="H80">
        <v>300</v>
      </c>
      <c r="I80" t="s">
        <v>29</v>
      </c>
      <c r="J80" t="s">
        <v>30</v>
      </c>
    </row>
    <row r="81" spans="1:10" x14ac:dyDescent="0.25">
      <c r="A81" s="1">
        <v>45270</v>
      </c>
      <c r="B81" t="s">
        <v>113</v>
      </c>
      <c r="C81" t="s">
        <v>16</v>
      </c>
      <c r="D81">
        <v>64</v>
      </c>
      <c r="E81" t="s">
        <v>17</v>
      </c>
      <c r="F81">
        <v>2</v>
      </c>
      <c r="G81">
        <v>30</v>
      </c>
      <c r="H81">
        <v>60</v>
      </c>
      <c r="I81" t="s">
        <v>36</v>
      </c>
      <c r="J81" t="s">
        <v>25</v>
      </c>
    </row>
    <row r="82" spans="1:10" x14ac:dyDescent="0.25">
      <c r="A82" s="1">
        <v>45063</v>
      </c>
      <c r="B82" t="s">
        <v>114</v>
      </c>
      <c r="C82" t="s">
        <v>11</v>
      </c>
      <c r="D82">
        <v>40</v>
      </c>
      <c r="E82" t="s">
        <v>21</v>
      </c>
      <c r="F82">
        <v>1</v>
      </c>
      <c r="G82">
        <v>50</v>
      </c>
      <c r="H82">
        <v>50</v>
      </c>
      <c r="I82" t="s">
        <v>24</v>
      </c>
      <c r="J82" t="s">
        <v>34</v>
      </c>
    </row>
    <row r="83" spans="1:10" x14ac:dyDescent="0.25">
      <c r="A83" s="1">
        <v>45286</v>
      </c>
      <c r="B83" t="s">
        <v>115</v>
      </c>
      <c r="C83" t="s">
        <v>16</v>
      </c>
      <c r="D83">
        <v>32</v>
      </c>
      <c r="E83" t="s">
        <v>12</v>
      </c>
      <c r="F83">
        <v>4</v>
      </c>
      <c r="G83">
        <v>50</v>
      </c>
      <c r="H83">
        <v>200</v>
      </c>
      <c r="I83" t="s">
        <v>36</v>
      </c>
      <c r="J83" t="s">
        <v>30</v>
      </c>
    </row>
    <row r="84" spans="1:10" x14ac:dyDescent="0.25">
      <c r="A84" s="1">
        <v>45276</v>
      </c>
      <c r="B84" t="s">
        <v>116</v>
      </c>
      <c r="C84" t="s">
        <v>11</v>
      </c>
      <c r="D84">
        <v>54</v>
      </c>
      <c r="E84" t="s">
        <v>21</v>
      </c>
      <c r="F84">
        <v>2</v>
      </c>
      <c r="G84">
        <v>50</v>
      </c>
      <c r="H84">
        <v>100</v>
      </c>
      <c r="I84" t="s">
        <v>36</v>
      </c>
      <c r="J84" t="s">
        <v>27</v>
      </c>
    </row>
    <row r="85" spans="1:10" x14ac:dyDescent="0.25">
      <c r="A85" s="1">
        <v>45258</v>
      </c>
      <c r="B85" t="s">
        <v>117</v>
      </c>
      <c r="C85" t="s">
        <v>16</v>
      </c>
      <c r="D85">
        <v>38</v>
      </c>
      <c r="E85" t="s">
        <v>21</v>
      </c>
      <c r="F85">
        <v>3</v>
      </c>
      <c r="G85">
        <v>30</v>
      </c>
      <c r="H85">
        <v>90</v>
      </c>
      <c r="I85" t="s">
        <v>13</v>
      </c>
      <c r="J85" t="s">
        <v>30</v>
      </c>
    </row>
    <row r="86" spans="1:10" x14ac:dyDescent="0.25">
      <c r="A86" s="1">
        <v>44963</v>
      </c>
      <c r="B86" t="s">
        <v>118</v>
      </c>
      <c r="C86" t="s">
        <v>11</v>
      </c>
      <c r="D86">
        <v>31</v>
      </c>
      <c r="E86" t="s">
        <v>17</v>
      </c>
      <c r="F86">
        <v>3</v>
      </c>
      <c r="G86">
        <v>50</v>
      </c>
      <c r="H86">
        <v>150</v>
      </c>
      <c r="I86" t="s">
        <v>18</v>
      </c>
      <c r="J86" t="s">
        <v>19</v>
      </c>
    </row>
    <row r="87" spans="1:10" x14ac:dyDescent="0.25">
      <c r="A87" s="1">
        <v>45238</v>
      </c>
      <c r="B87" t="s">
        <v>119</v>
      </c>
      <c r="C87" t="s">
        <v>11</v>
      </c>
      <c r="D87">
        <v>19</v>
      </c>
      <c r="E87" t="s">
        <v>12</v>
      </c>
      <c r="F87">
        <v>3</v>
      </c>
      <c r="G87">
        <v>30</v>
      </c>
      <c r="H87">
        <v>90</v>
      </c>
      <c r="I87" t="s">
        <v>13</v>
      </c>
      <c r="J87" t="s">
        <v>34</v>
      </c>
    </row>
    <row r="88" spans="1:10" x14ac:dyDescent="0.25">
      <c r="A88" s="1">
        <v>45252</v>
      </c>
      <c r="B88" t="s">
        <v>120</v>
      </c>
      <c r="C88" t="s">
        <v>16</v>
      </c>
      <c r="D88">
        <v>28</v>
      </c>
      <c r="E88" t="s">
        <v>12</v>
      </c>
      <c r="F88">
        <v>2</v>
      </c>
      <c r="G88">
        <v>50</v>
      </c>
      <c r="H88">
        <v>100</v>
      </c>
      <c r="I88" t="s">
        <v>13</v>
      </c>
      <c r="J88" t="s">
        <v>34</v>
      </c>
    </row>
    <row r="89" spans="1:10" x14ac:dyDescent="0.25">
      <c r="A89" s="1">
        <v>45014</v>
      </c>
      <c r="B89" t="s">
        <v>121</v>
      </c>
      <c r="C89" t="s">
        <v>11</v>
      </c>
      <c r="D89">
        <v>56</v>
      </c>
      <c r="E89" t="s">
        <v>17</v>
      </c>
      <c r="F89">
        <v>1</v>
      </c>
      <c r="G89">
        <v>500</v>
      </c>
      <c r="H89">
        <v>500</v>
      </c>
      <c r="I89" t="s">
        <v>32</v>
      </c>
      <c r="J89" t="s">
        <v>34</v>
      </c>
    </row>
    <row r="90" spans="1:10" x14ac:dyDescent="0.25">
      <c r="A90" s="1">
        <v>45200</v>
      </c>
      <c r="B90" t="s">
        <v>122</v>
      </c>
      <c r="C90" t="s">
        <v>16</v>
      </c>
      <c r="D90">
        <v>55</v>
      </c>
      <c r="E90" t="s">
        <v>21</v>
      </c>
      <c r="F90">
        <v>4</v>
      </c>
      <c r="G90">
        <v>500</v>
      </c>
      <c r="H90">
        <v>2000</v>
      </c>
      <c r="I90" t="s">
        <v>38</v>
      </c>
      <c r="J90" t="s">
        <v>25</v>
      </c>
    </row>
    <row r="91" spans="1:10" x14ac:dyDescent="0.25">
      <c r="A91" s="1">
        <v>45052</v>
      </c>
      <c r="B91" t="s">
        <v>123</v>
      </c>
      <c r="C91" t="s">
        <v>16</v>
      </c>
      <c r="D91">
        <v>51</v>
      </c>
      <c r="E91" t="s">
        <v>21</v>
      </c>
      <c r="F91">
        <v>1</v>
      </c>
      <c r="G91">
        <v>30</v>
      </c>
      <c r="H91">
        <v>30</v>
      </c>
      <c r="I91" t="s">
        <v>24</v>
      </c>
      <c r="J91" t="s">
        <v>27</v>
      </c>
    </row>
    <row r="92" spans="1:10" x14ac:dyDescent="0.25">
      <c r="A92" s="1">
        <v>45010</v>
      </c>
      <c r="B92" t="s">
        <v>124</v>
      </c>
      <c r="C92" t="s">
        <v>16</v>
      </c>
      <c r="D92">
        <v>55</v>
      </c>
      <c r="E92" t="s">
        <v>21</v>
      </c>
      <c r="F92">
        <v>1</v>
      </c>
      <c r="G92">
        <v>500</v>
      </c>
      <c r="H92">
        <v>500</v>
      </c>
      <c r="I92" t="s">
        <v>32</v>
      </c>
      <c r="J92" t="s">
        <v>27</v>
      </c>
    </row>
    <row r="93" spans="1:10" x14ac:dyDescent="0.25">
      <c r="A93" s="1">
        <v>45163</v>
      </c>
      <c r="B93" t="s">
        <v>125</v>
      </c>
      <c r="C93" t="s">
        <v>16</v>
      </c>
      <c r="D93">
        <v>51</v>
      </c>
      <c r="E93" t="s">
        <v>21</v>
      </c>
      <c r="F93">
        <v>4</v>
      </c>
      <c r="G93">
        <v>30</v>
      </c>
      <c r="H93">
        <v>120</v>
      </c>
      <c r="I93" t="s">
        <v>42</v>
      </c>
      <c r="J93" t="s">
        <v>14</v>
      </c>
    </row>
    <row r="94" spans="1:10" x14ac:dyDescent="0.25">
      <c r="A94" s="1">
        <v>45121</v>
      </c>
      <c r="B94" t="s">
        <v>126</v>
      </c>
      <c r="C94" t="s">
        <v>16</v>
      </c>
      <c r="D94">
        <v>35</v>
      </c>
      <c r="E94" t="s">
        <v>12</v>
      </c>
      <c r="F94">
        <v>4</v>
      </c>
      <c r="G94">
        <v>500</v>
      </c>
      <c r="H94">
        <v>2000</v>
      </c>
      <c r="I94" t="s">
        <v>76</v>
      </c>
      <c r="J94" t="s">
        <v>14</v>
      </c>
    </row>
    <row r="95" spans="1:10" x14ac:dyDescent="0.25">
      <c r="A95" s="1">
        <v>45065</v>
      </c>
      <c r="B95" t="s">
        <v>127</v>
      </c>
      <c r="C95" t="s">
        <v>16</v>
      </c>
      <c r="D95">
        <v>47</v>
      </c>
      <c r="E95" t="s">
        <v>12</v>
      </c>
      <c r="F95">
        <v>2</v>
      </c>
      <c r="G95">
        <v>500</v>
      </c>
      <c r="H95">
        <v>1000</v>
      </c>
      <c r="I95" t="s">
        <v>24</v>
      </c>
      <c r="J95" t="s">
        <v>14</v>
      </c>
    </row>
    <row r="96" spans="1:10" x14ac:dyDescent="0.25">
      <c r="A96" s="1">
        <v>45254</v>
      </c>
      <c r="B96" t="s">
        <v>128</v>
      </c>
      <c r="C96" t="s">
        <v>16</v>
      </c>
      <c r="D96">
        <v>32</v>
      </c>
      <c r="E96" t="s">
        <v>17</v>
      </c>
      <c r="F96">
        <v>2</v>
      </c>
      <c r="G96">
        <v>30</v>
      </c>
      <c r="H96">
        <v>60</v>
      </c>
      <c r="I96" t="s">
        <v>13</v>
      </c>
      <c r="J96" t="s">
        <v>14</v>
      </c>
    </row>
    <row r="97" spans="1:10" x14ac:dyDescent="0.25">
      <c r="A97" s="1">
        <v>45279</v>
      </c>
      <c r="B97" t="s">
        <v>129</v>
      </c>
      <c r="C97" t="s">
        <v>16</v>
      </c>
      <c r="D97">
        <v>44</v>
      </c>
      <c r="E97" t="s">
        <v>17</v>
      </c>
      <c r="F97">
        <v>2</v>
      </c>
      <c r="G97">
        <v>300</v>
      </c>
      <c r="H97">
        <v>600</v>
      </c>
      <c r="I97" t="s">
        <v>36</v>
      </c>
      <c r="J97" t="s">
        <v>30</v>
      </c>
    </row>
    <row r="98" spans="1:10" x14ac:dyDescent="0.25">
      <c r="A98" s="1">
        <v>45212</v>
      </c>
      <c r="B98" t="s">
        <v>130</v>
      </c>
      <c r="C98" t="s">
        <v>16</v>
      </c>
      <c r="D98">
        <v>51</v>
      </c>
      <c r="E98" t="s">
        <v>12</v>
      </c>
      <c r="F98">
        <v>2</v>
      </c>
      <c r="G98">
        <v>500</v>
      </c>
      <c r="H98">
        <v>1000</v>
      </c>
      <c r="I98" t="s">
        <v>38</v>
      </c>
      <c r="J98" t="s">
        <v>14</v>
      </c>
    </row>
    <row r="99" spans="1:10" x14ac:dyDescent="0.25">
      <c r="A99" s="1">
        <v>45039</v>
      </c>
      <c r="B99" t="s">
        <v>131</v>
      </c>
      <c r="C99" t="s">
        <v>16</v>
      </c>
      <c r="D99">
        <v>55</v>
      </c>
      <c r="E99" t="s">
        <v>12</v>
      </c>
      <c r="F99">
        <v>2</v>
      </c>
      <c r="G99">
        <v>50</v>
      </c>
      <c r="H99">
        <v>100</v>
      </c>
      <c r="I99" t="s">
        <v>29</v>
      </c>
      <c r="J99" t="s">
        <v>25</v>
      </c>
    </row>
    <row r="100" spans="1:10" x14ac:dyDescent="0.25">
      <c r="A100" s="1">
        <v>45277</v>
      </c>
      <c r="B100" t="s">
        <v>132</v>
      </c>
      <c r="C100" t="s">
        <v>16</v>
      </c>
      <c r="D100">
        <v>50</v>
      </c>
      <c r="E100" t="s">
        <v>21</v>
      </c>
      <c r="F100">
        <v>4</v>
      </c>
      <c r="G100">
        <v>300</v>
      </c>
      <c r="H100">
        <v>1200</v>
      </c>
      <c r="I100" t="s">
        <v>36</v>
      </c>
      <c r="J100" t="s">
        <v>25</v>
      </c>
    </row>
    <row r="101" spans="1:10" x14ac:dyDescent="0.25">
      <c r="A101" s="1">
        <v>45093</v>
      </c>
      <c r="B101" t="s">
        <v>133</v>
      </c>
      <c r="C101" t="s">
        <v>11</v>
      </c>
      <c r="D101">
        <v>41</v>
      </c>
      <c r="E101" t="s">
        <v>21</v>
      </c>
      <c r="F101">
        <v>1</v>
      </c>
      <c r="G101">
        <v>30</v>
      </c>
      <c r="H101">
        <v>30</v>
      </c>
      <c r="I101" t="s">
        <v>68</v>
      </c>
      <c r="J101" t="s">
        <v>14</v>
      </c>
    </row>
    <row r="102" spans="1:10" x14ac:dyDescent="0.25">
      <c r="A102" s="1">
        <v>45028</v>
      </c>
      <c r="B102" t="s">
        <v>1033</v>
      </c>
      <c r="C102" t="s">
        <v>11</v>
      </c>
      <c r="D102">
        <v>47</v>
      </c>
      <c r="E102" t="s">
        <v>21</v>
      </c>
      <c r="F102">
        <v>4</v>
      </c>
      <c r="G102">
        <v>30</v>
      </c>
      <c r="H102">
        <v>120</v>
      </c>
      <c r="I102" t="s">
        <v>29</v>
      </c>
      <c r="J102" t="s">
        <v>34</v>
      </c>
    </row>
    <row r="103" spans="1:10" x14ac:dyDescent="0.25">
      <c r="A103" s="1">
        <v>44955</v>
      </c>
      <c r="B103" t="s">
        <v>134</v>
      </c>
      <c r="C103" t="s">
        <v>11</v>
      </c>
      <c r="D103">
        <v>32</v>
      </c>
      <c r="E103" t="s">
        <v>17</v>
      </c>
      <c r="F103">
        <v>2</v>
      </c>
      <c r="G103">
        <v>300</v>
      </c>
      <c r="H103">
        <v>600</v>
      </c>
      <c r="I103" t="s">
        <v>22</v>
      </c>
      <c r="J103" t="s">
        <v>25</v>
      </c>
    </row>
    <row r="104" spans="1:10" x14ac:dyDescent="0.25">
      <c r="A104" s="1">
        <v>45044</v>
      </c>
      <c r="B104" t="s">
        <v>135</v>
      </c>
      <c r="C104" t="s">
        <v>16</v>
      </c>
      <c r="D104">
        <v>47</v>
      </c>
      <c r="E104" t="s">
        <v>12</v>
      </c>
      <c r="F104">
        <v>2</v>
      </c>
      <c r="G104">
        <v>25</v>
      </c>
      <c r="H104">
        <v>50</v>
      </c>
      <c r="I104" t="s">
        <v>29</v>
      </c>
      <c r="J104" t="s">
        <v>14</v>
      </c>
    </row>
    <row r="105" spans="1:10" x14ac:dyDescent="0.25">
      <c r="A105" s="1">
        <v>44943</v>
      </c>
      <c r="B105" t="s">
        <v>136</v>
      </c>
      <c r="C105" t="s">
        <v>16</v>
      </c>
      <c r="D105">
        <v>59</v>
      </c>
      <c r="E105" t="s">
        <v>17</v>
      </c>
      <c r="F105">
        <v>1</v>
      </c>
      <c r="G105">
        <v>25</v>
      </c>
      <c r="H105">
        <v>25</v>
      </c>
      <c r="I105" t="s">
        <v>22</v>
      </c>
      <c r="J105" t="s">
        <v>30</v>
      </c>
    </row>
    <row r="106" spans="1:10" x14ac:dyDescent="0.25">
      <c r="A106" s="1">
        <v>45088</v>
      </c>
      <c r="B106" t="s">
        <v>137</v>
      </c>
      <c r="C106" t="s">
        <v>16</v>
      </c>
      <c r="D106">
        <v>34</v>
      </c>
      <c r="E106" t="s">
        <v>12</v>
      </c>
      <c r="F106">
        <v>2</v>
      </c>
      <c r="G106">
        <v>500</v>
      </c>
      <c r="H106">
        <v>1000</v>
      </c>
      <c r="I106" t="s">
        <v>68</v>
      </c>
      <c r="J106" t="s">
        <v>25</v>
      </c>
    </row>
    <row r="107" spans="1:10" x14ac:dyDescent="0.25">
      <c r="A107" s="1">
        <v>45132</v>
      </c>
      <c r="B107" t="s">
        <v>138</v>
      </c>
      <c r="C107" t="s">
        <v>16</v>
      </c>
      <c r="D107">
        <v>22</v>
      </c>
      <c r="E107" t="s">
        <v>21</v>
      </c>
      <c r="F107">
        <v>1</v>
      </c>
      <c r="G107">
        <v>500</v>
      </c>
      <c r="H107">
        <v>500</v>
      </c>
      <c r="I107" t="s">
        <v>76</v>
      </c>
      <c r="J107" t="s">
        <v>30</v>
      </c>
    </row>
    <row r="108" spans="1:10" x14ac:dyDescent="0.25">
      <c r="A108" s="1">
        <v>45064</v>
      </c>
      <c r="B108" t="s">
        <v>139</v>
      </c>
      <c r="C108" t="s">
        <v>16</v>
      </c>
      <c r="D108">
        <v>46</v>
      </c>
      <c r="E108" t="s">
        <v>17</v>
      </c>
      <c r="F108">
        <v>1</v>
      </c>
      <c r="G108">
        <v>50</v>
      </c>
      <c r="H108">
        <v>50</v>
      </c>
      <c r="I108" t="s">
        <v>24</v>
      </c>
      <c r="J108" t="s">
        <v>58</v>
      </c>
    </row>
    <row r="109" spans="1:10" x14ac:dyDescent="0.25">
      <c r="A109" s="1">
        <v>44960</v>
      </c>
      <c r="B109" t="s">
        <v>140</v>
      </c>
      <c r="C109" t="s">
        <v>16</v>
      </c>
      <c r="D109">
        <v>21</v>
      </c>
      <c r="E109" t="s">
        <v>17</v>
      </c>
      <c r="F109">
        <v>4</v>
      </c>
      <c r="G109">
        <v>300</v>
      </c>
      <c r="H109">
        <v>1200</v>
      </c>
      <c r="I109" t="s">
        <v>18</v>
      </c>
      <c r="J109" t="s">
        <v>14</v>
      </c>
    </row>
    <row r="110" spans="1:10" x14ac:dyDescent="0.25">
      <c r="A110" s="1">
        <v>45035</v>
      </c>
      <c r="B110" t="s">
        <v>141</v>
      </c>
      <c r="C110" t="s">
        <v>16</v>
      </c>
      <c r="D110">
        <v>27</v>
      </c>
      <c r="E110" t="s">
        <v>12</v>
      </c>
      <c r="F110">
        <v>3</v>
      </c>
      <c r="G110">
        <v>25</v>
      </c>
      <c r="H110">
        <v>75</v>
      </c>
      <c r="I110" t="s">
        <v>29</v>
      </c>
      <c r="J110" t="s">
        <v>34</v>
      </c>
    </row>
    <row r="111" spans="1:10" x14ac:dyDescent="0.25">
      <c r="A111" s="1">
        <v>45217</v>
      </c>
      <c r="B111" t="s">
        <v>142</v>
      </c>
      <c r="C111" t="s">
        <v>16</v>
      </c>
      <c r="D111">
        <v>34</v>
      </c>
      <c r="E111" t="s">
        <v>21</v>
      </c>
      <c r="F111">
        <v>4</v>
      </c>
      <c r="G111">
        <v>500</v>
      </c>
      <c r="H111">
        <v>2000</v>
      </c>
      <c r="I111" t="s">
        <v>38</v>
      </c>
      <c r="J111" t="s">
        <v>34</v>
      </c>
    </row>
    <row r="112" spans="1:10" x14ac:dyDescent="0.25">
      <c r="A112" s="1">
        <v>45088</v>
      </c>
      <c r="B112" t="s">
        <v>143</v>
      </c>
      <c r="C112" t="s">
        <v>11</v>
      </c>
      <c r="D112">
        <v>27</v>
      </c>
      <c r="E112" t="s">
        <v>17</v>
      </c>
      <c r="F112">
        <v>3</v>
      </c>
      <c r="G112">
        <v>300</v>
      </c>
      <c r="H112">
        <v>900</v>
      </c>
      <c r="I112" t="s">
        <v>68</v>
      </c>
      <c r="J112" t="s">
        <v>25</v>
      </c>
    </row>
    <row r="113" spans="1:10" x14ac:dyDescent="0.25">
      <c r="A113" s="1">
        <v>45035</v>
      </c>
      <c r="B113" t="s">
        <v>144</v>
      </c>
      <c r="C113" t="s">
        <v>16</v>
      </c>
      <c r="D113">
        <v>34</v>
      </c>
      <c r="E113" t="s">
        <v>21</v>
      </c>
      <c r="F113">
        <v>3</v>
      </c>
      <c r="G113">
        <v>500</v>
      </c>
      <c r="H113">
        <v>1500</v>
      </c>
      <c r="I113" t="s">
        <v>29</v>
      </c>
      <c r="J113" t="s">
        <v>34</v>
      </c>
    </row>
    <row r="114" spans="1:10" x14ac:dyDescent="0.25">
      <c r="A114" s="1">
        <v>45262</v>
      </c>
      <c r="B114" t="s">
        <v>145</v>
      </c>
      <c r="C114" t="s">
        <v>11</v>
      </c>
      <c r="D114">
        <v>37</v>
      </c>
      <c r="E114" t="s">
        <v>17</v>
      </c>
      <c r="F114">
        <v>3</v>
      </c>
      <c r="G114">
        <v>500</v>
      </c>
      <c r="H114">
        <v>1500</v>
      </c>
      <c r="I114" t="s">
        <v>36</v>
      </c>
      <c r="J114" t="s">
        <v>27</v>
      </c>
    </row>
    <row r="115" spans="1:10" x14ac:dyDescent="0.25">
      <c r="A115" s="1">
        <v>45182</v>
      </c>
      <c r="B115" t="s">
        <v>146</v>
      </c>
      <c r="C115" t="s">
        <v>16</v>
      </c>
      <c r="D115">
        <v>41</v>
      </c>
      <c r="E115" t="s">
        <v>21</v>
      </c>
      <c r="F115">
        <v>2</v>
      </c>
      <c r="G115">
        <v>25</v>
      </c>
      <c r="H115">
        <v>50</v>
      </c>
      <c r="I115" t="s">
        <v>49</v>
      </c>
      <c r="J115" t="s">
        <v>34</v>
      </c>
    </row>
    <row r="116" spans="1:10" x14ac:dyDescent="0.25">
      <c r="A116" s="1">
        <v>45129</v>
      </c>
      <c r="B116" t="s">
        <v>147</v>
      </c>
      <c r="C116" t="s">
        <v>16</v>
      </c>
      <c r="D116">
        <v>22</v>
      </c>
      <c r="E116" t="s">
        <v>12</v>
      </c>
      <c r="F116">
        <v>4</v>
      </c>
      <c r="G116">
        <v>25</v>
      </c>
      <c r="H116">
        <v>100</v>
      </c>
      <c r="I116" t="s">
        <v>76</v>
      </c>
      <c r="J116" t="s">
        <v>27</v>
      </c>
    </row>
    <row r="117" spans="1:10" x14ac:dyDescent="0.25">
      <c r="A117" s="1">
        <v>45256</v>
      </c>
      <c r="B117" t="s">
        <v>148</v>
      </c>
      <c r="C117" t="s">
        <v>11</v>
      </c>
      <c r="D117">
        <v>51</v>
      </c>
      <c r="E117" t="s">
        <v>17</v>
      </c>
      <c r="F117">
        <v>3</v>
      </c>
      <c r="G117">
        <v>500</v>
      </c>
      <c r="H117">
        <v>1500</v>
      </c>
      <c r="I117" t="s">
        <v>13</v>
      </c>
      <c r="J117" t="s">
        <v>25</v>
      </c>
    </row>
    <row r="118" spans="1:10" x14ac:dyDescent="0.25">
      <c r="A118" s="1">
        <v>45161</v>
      </c>
      <c r="B118" t="s">
        <v>149</v>
      </c>
      <c r="C118" t="s">
        <v>16</v>
      </c>
      <c r="D118">
        <v>23</v>
      </c>
      <c r="E118" t="s">
        <v>17</v>
      </c>
      <c r="F118">
        <v>1</v>
      </c>
      <c r="G118">
        <v>30</v>
      </c>
      <c r="H118">
        <v>30</v>
      </c>
      <c r="I118" t="s">
        <v>42</v>
      </c>
      <c r="J118" t="s">
        <v>34</v>
      </c>
    </row>
    <row r="119" spans="1:10" x14ac:dyDescent="0.25">
      <c r="A119" s="1">
        <v>45000</v>
      </c>
      <c r="B119" t="s">
        <v>150</v>
      </c>
      <c r="C119" t="s">
        <v>11</v>
      </c>
      <c r="D119">
        <v>19</v>
      </c>
      <c r="E119" t="s">
        <v>21</v>
      </c>
      <c r="F119">
        <v>2</v>
      </c>
      <c r="G119">
        <v>500</v>
      </c>
      <c r="H119">
        <v>1000</v>
      </c>
      <c r="I119" t="s">
        <v>32</v>
      </c>
      <c r="J119" t="s">
        <v>34</v>
      </c>
    </row>
    <row r="120" spans="1:10" x14ac:dyDescent="0.25">
      <c r="A120" s="1">
        <v>45062</v>
      </c>
      <c r="B120" t="s">
        <v>151</v>
      </c>
      <c r="C120" t="s">
        <v>16</v>
      </c>
      <c r="D120">
        <v>30</v>
      </c>
      <c r="E120" t="s">
        <v>21</v>
      </c>
      <c r="F120">
        <v>4</v>
      </c>
      <c r="G120">
        <v>500</v>
      </c>
      <c r="H120">
        <v>2000</v>
      </c>
      <c r="I120" t="s">
        <v>24</v>
      </c>
      <c r="J120" t="s">
        <v>30</v>
      </c>
    </row>
    <row r="121" spans="1:10" x14ac:dyDescent="0.25">
      <c r="A121" s="1">
        <v>44998</v>
      </c>
      <c r="B121" t="s">
        <v>152</v>
      </c>
      <c r="C121" t="s">
        <v>16</v>
      </c>
      <c r="D121">
        <v>60</v>
      </c>
      <c r="E121" t="s">
        <v>17</v>
      </c>
      <c r="F121">
        <v>3</v>
      </c>
      <c r="G121">
        <v>50</v>
      </c>
      <c r="H121">
        <v>150</v>
      </c>
      <c r="I121" t="s">
        <v>32</v>
      </c>
      <c r="J121" t="s">
        <v>19</v>
      </c>
    </row>
    <row r="122" spans="1:10" x14ac:dyDescent="0.25">
      <c r="A122" s="1">
        <v>45053</v>
      </c>
      <c r="B122" t="s">
        <v>153</v>
      </c>
      <c r="C122" t="s">
        <v>11</v>
      </c>
      <c r="D122">
        <v>60</v>
      </c>
      <c r="E122" t="s">
        <v>12</v>
      </c>
      <c r="F122">
        <v>1</v>
      </c>
      <c r="G122">
        <v>50</v>
      </c>
      <c r="H122">
        <v>50</v>
      </c>
      <c r="I122" t="s">
        <v>24</v>
      </c>
      <c r="J122" t="s">
        <v>25</v>
      </c>
    </row>
    <row r="123" spans="1:10" x14ac:dyDescent="0.25">
      <c r="A123" s="1">
        <v>45214</v>
      </c>
      <c r="B123" t="s">
        <v>154</v>
      </c>
      <c r="C123" t="s">
        <v>16</v>
      </c>
      <c r="D123">
        <v>28</v>
      </c>
      <c r="E123" t="s">
        <v>21</v>
      </c>
      <c r="F123">
        <v>4</v>
      </c>
      <c r="G123">
        <v>50</v>
      </c>
      <c r="H123">
        <v>200</v>
      </c>
      <c r="I123" t="s">
        <v>38</v>
      </c>
      <c r="J123" t="s">
        <v>25</v>
      </c>
    </row>
    <row r="124" spans="1:10" x14ac:dyDescent="0.25">
      <c r="A124" s="1">
        <v>45202</v>
      </c>
      <c r="B124" t="s">
        <v>155</v>
      </c>
      <c r="C124" t="s">
        <v>11</v>
      </c>
      <c r="D124">
        <v>64</v>
      </c>
      <c r="E124" t="s">
        <v>21</v>
      </c>
      <c r="F124">
        <v>4</v>
      </c>
      <c r="G124">
        <v>30</v>
      </c>
      <c r="H124">
        <v>120</v>
      </c>
      <c r="I124" t="s">
        <v>38</v>
      </c>
      <c r="J124" t="s">
        <v>30</v>
      </c>
    </row>
    <row r="125" spans="1:10" x14ac:dyDescent="0.25">
      <c r="A125" s="1">
        <v>45061</v>
      </c>
      <c r="B125" t="s">
        <v>156</v>
      </c>
      <c r="C125" t="s">
        <v>16</v>
      </c>
      <c r="D125">
        <v>40</v>
      </c>
      <c r="E125" t="s">
        <v>21</v>
      </c>
      <c r="F125">
        <v>2</v>
      </c>
      <c r="G125">
        <v>30</v>
      </c>
      <c r="H125">
        <v>60</v>
      </c>
      <c r="I125" t="s">
        <v>24</v>
      </c>
      <c r="J125" t="s">
        <v>19</v>
      </c>
    </row>
    <row r="126" spans="1:10" x14ac:dyDescent="0.25">
      <c r="A126" s="1">
        <v>45226</v>
      </c>
      <c r="B126" t="s">
        <v>157</v>
      </c>
      <c r="C126" t="s">
        <v>11</v>
      </c>
      <c r="D126">
        <v>33</v>
      </c>
      <c r="E126" t="s">
        <v>17</v>
      </c>
      <c r="F126">
        <v>4</v>
      </c>
      <c r="G126">
        <v>500</v>
      </c>
      <c r="H126">
        <v>2000</v>
      </c>
      <c r="I126" t="s">
        <v>38</v>
      </c>
      <c r="J126" t="s">
        <v>14</v>
      </c>
    </row>
    <row r="127" spans="1:10" x14ac:dyDescent="0.25">
      <c r="A127" s="1">
        <v>45146</v>
      </c>
      <c r="B127" t="s">
        <v>158</v>
      </c>
      <c r="C127" t="s">
        <v>11</v>
      </c>
      <c r="D127">
        <v>48</v>
      </c>
      <c r="E127" t="s">
        <v>17</v>
      </c>
      <c r="F127">
        <v>2</v>
      </c>
      <c r="G127">
        <v>50</v>
      </c>
      <c r="H127">
        <v>100</v>
      </c>
      <c r="I127" t="s">
        <v>42</v>
      </c>
      <c r="J127" t="s">
        <v>30</v>
      </c>
    </row>
    <row r="128" spans="1:10" x14ac:dyDescent="0.25">
      <c r="A128" s="1">
        <v>45225</v>
      </c>
      <c r="B128" t="s">
        <v>159</v>
      </c>
      <c r="C128" t="s">
        <v>16</v>
      </c>
      <c r="D128">
        <v>28</v>
      </c>
      <c r="E128" t="s">
        <v>17</v>
      </c>
      <c r="F128">
        <v>3</v>
      </c>
      <c r="G128">
        <v>30</v>
      </c>
      <c r="H128">
        <v>90</v>
      </c>
      <c r="I128" t="s">
        <v>38</v>
      </c>
      <c r="J128" t="s">
        <v>58</v>
      </c>
    </row>
    <row r="129" spans="1:10" x14ac:dyDescent="0.25">
      <c r="A129" s="1">
        <v>45131</v>
      </c>
      <c r="B129" t="s">
        <v>160</v>
      </c>
      <c r="C129" t="s">
        <v>16</v>
      </c>
      <c r="D129">
        <v>33</v>
      </c>
      <c r="E129" t="s">
        <v>17</v>
      </c>
      <c r="F129">
        <v>2</v>
      </c>
      <c r="G129">
        <v>25</v>
      </c>
      <c r="H129">
        <v>50</v>
      </c>
      <c r="I129" t="s">
        <v>76</v>
      </c>
      <c r="J129" t="s">
        <v>19</v>
      </c>
    </row>
    <row r="130" spans="1:10" x14ac:dyDescent="0.25">
      <c r="A130" s="1">
        <v>45112</v>
      </c>
      <c r="B130" t="s">
        <v>161</v>
      </c>
      <c r="C130" t="s">
        <v>11</v>
      </c>
      <c r="D130">
        <v>25</v>
      </c>
      <c r="E130" t="s">
        <v>12</v>
      </c>
      <c r="F130">
        <v>1</v>
      </c>
      <c r="G130">
        <v>500</v>
      </c>
      <c r="H130">
        <v>500</v>
      </c>
      <c r="I130" t="s">
        <v>76</v>
      </c>
      <c r="J130" t="s">
        <v>34</v>
      </c>
    </row>
    <row r="131" spans="1:10" x14ac:dyDescent="0.25">
      <c r="A131" s="1">
        <v>45039</v>
      </c>
      <c r="B131" t="s">
        <v>162</v>
      </c>
      <c r="C131" t="s">
        <v>16</v>
      </c>
      <c r="D131">
        <v>21</v>
      </c>
      <c r="E131" t="s">
        <v>12</v>
      </c>
      <c r="F131">
        <v>2</v>
      </c>
      <c r="G131">
        <v>300</v>
      </c>
      <c r="H131">
        <v>600</v>
      </c>
      <c r="I131" t="s">
        <v>29</v>
      </c>
      <c r="J131" t="s">
        <v>25</v>
      </c>
    </row>
    <row r="132" spans="1:10" x14ac:dyDescent="0.25">
      <c r="A132" s="1">
        <v>44997</v>
      </c>
      <c r="B132" t="s">
        <v>163</v>
      </c>
      <c r="C132" t="s">
        <v>16</v>
      </c>
      <c r="D132">
        <v>57</v>
      </c>
      <c r="E132" t="s">
        <v>17</v>
      </c>
      <c r="F132">
        <v>1</v>
      </c>
      <c r="G132">
        <v>500</v>
      </c>
      <c r="H132">
        <v>500</v>
      </c>
      <c r="I132" t="s">
        <v>32</v>
      </c>
      <c r="J132" t="s">
        <v>25</v>
      </c>
    </row>
    <row r="133" spans="1:10" x14ac:dyDescent="0.25">
      <c r="A133" s="1">
        <v>45187</v>
      </c>
      <c r="B133" t="s">
        <v>164</v>
      </c>
      <c r="C133" t="s">
        <v>16</v>
      </c>
      <c r="D133">
        <v>21</v>
      </c>
      <c r="E133" t="s">
        <v>12</v>
      </c>
      <c r="F133">
        <v>2</v>
      </c>
      <c r="G133">
        <v>300</v>
      </c>
      <c r="H133">
        <v>600</v>
      </c>
      <c r="I133" t="s">
        <v>49</v>
      </c>
      <c r="J133" t="s">
        <v>19</v>
      </c>
    </row>
    <row r="134" spans="1:10" x14ac:dyDescent="0.25">
      <c r="A134" s="1">
        <v>45179</v>
      </c>
      <c r="B134" t="s">
        <v>165</v>
      </c>
      <c r="C134" t="s">
        <v>11</v>
      </c>
      <c r="D134">
        <v>42</v>
      </c>
      <c r="E134" t="s">
        <v>21</v>
      </c>
      <c r="F134">
        <v>4</v>
      </c>
      <c r="G134">
        <v>50</v>
      </c>
      <c r="H134">
        <v>200</v>
      </c>
      <c r="I134" t="s">
        <v>49</v>
      </c>
      <c r="J134" t="s">
        <v>25</v>
      </c>
    </row>
    <row r="135" spans="1:10" x14ac:dyDescent="0.25">
      <c r="A135" s="1">
        <v>44973</v>
      </c>
      <c r="B135" t="s">
        <v>166</v>
      </c>
      <c r="C135" t="s">
        <v>11</v>
      </c>
      <c r="D135">
        <v>20</v>
      </c>
      <c r="E135" t="s">
        <v>21</v>
      </c>
      <c r="F135">
        <v>3</v>
      </c>
      <c r="G135">
        <v>300</v>
      </c>
      <c r="H135">
        <v>900</v>
      </c>
      <c r="I135" t="s">
        <v>18</v>
      </c>
      <c r="J135" t="s">
        <v>58</v>
      </c>
    </row>
    <row r="136" spans="1:10" x14ac:dyDescent="0.25">
      <c r="A136" s="1">
        <v>44951</v>
      </c>
      <c r="B136" t="s">
        <v>167</v>
      </c>
      <c r="C136" t="s">
        <v>11</v>
      </c>
      <c r="D136">
        <v>49</v>
      </c>
      <c r="E136" t="s">
        <v>21</v>
      </c>
      <c r="F136">
        <v>1</v>
      </c>
      <c r="G136">
        <v>50</v>
      </c>
      <c r="H136">
        <v>50</v>
      </c>
      <c r="I136" t="s">
        <v>22</v>
      </c>
      <c r="J136" t="s">
        <v>34</v>
      </c>
    </row>
    <row r="137" spans="1:10" x14ac:dyDescent="0.25">
      <c r="A137" s="1">
        <v>44983</v>
      </c>
      <c r="B137" t="s">
        <v>168</v>
      </c>
      <c r="C137" t="s">
        <v>11</v>
      </c>
      <c r="D137">
        <v>20</v>
      </c>
      <c r="E137" t="s">
        <v>17</v>
      </c>
      <c r="F137">
        <v>2</v>
      </c>
      <c r="G137">
        <v>25</v>
      </c>
      <c r="H137">
        <v>50</v>
      </c>
      <c r="I137" t="s">
        <v>18</v>
      </c>
      <c r="J137" t="s">
        <v>25</v>
      </c>
    </row>
    <row r="138" spans="1:10" x14ac:dyDescent="0.25">
      <c r="A138" s="1">
        <v>45005</v>
      </c>
      <c r="B138" t="s">
        <v>169</v>
      </c>
      <c r="C138" t="s">
        <v>11</v>
      </c>
      <c r="D138">
        <v>44</v>
      </c>
      <c r="E138" t="s">
        <v>21</v>
      </c>
      <c r="F138">
        <v>2</v>
      </c>
      <c r="G138">
        <v>300</v>
      </c>
      <c r="H138">
        <v>600</v>
      </c>
      <c r="I138" t="s">
        <v>32</v>
      </c>
      <c r="J138" t="s">
        <v>19</v>
      </c>
    </row>
    <row r="139" spans="1:10" x14ac:dyDescent="0.25">
      <c r="A139" s="1">
        <v>45248</v>
      </c>
      <c r="B139" t="s">
        <v>170</v>
      </c>
      <c r="C139" t="s">
        <v>11</v>
      </c>
      <c r="D139">
        <v>46</v>
      </c>
      <c r="E139" t="s">
        <v>12</v>
      </c>
      <c r="F139">
        <v>2</v>
      </c>
      <c r="G139">
        <v>500</v>
      </c>
      <c r="H139">
        <v>1000</v>
      </c>
      <c r="I139" t="s">
        <v>13</v>
      </c>
      <c r="J139" t="s">
        <v>27</v>
      </c>
    </row>
    <row r="140" spans="1:10" x14ac:dyDescent="0.25">
      <c r="A140" s="1">
        <v>45008</v>
      </c>
      <c r="B140" t="s">
        <v>171</v>
      </c>
      <c r="C140" t="s">
        <v>11</v>
      </c>
      <c r="D140">
        <v>49</v>
      </c>
      <c r="E140" t="s">
        <v>17</v>
      </c>
      <c r="F140">
        <v>4</v>
      </c>
      <c r="G140">
        <v>50</v>
      </c>
      <c r="H140">
        <v>200</v>
      </c>
      <c r="I140" t="s">
        <v>32</v>
      </c>
      <c r="J140" t="s">
        <v>58</v>
      </c>
    </row>
    <row r="141" spans="1:10" x14ac:dyDescent="0.25">
      <c r="A141" s="1">
        <v>45275</v>
      </c>
      <c r="B141" t="s">
        <v>172</v>
      </c>
      <c r="C141" t="s">
        <v>11</v>
      </c>
      <c r="D141">
        <v>36</v>
      </c>
      <c r="E141" t="s">
        <v>12</v>
      </c>
      <c r="F141">
        <v>4</v>
      </c>
      <c r="G141">
        <v>500</v>
      </c>
      <c r="H141">
        <v>2000</v>
      </c>
      <c r="I141" t="s">
        <v>36</v>
      </c>
      <c r="J141" t="s">
        <v>14</v>
      </c>
    </row>
    <row r="142" spans="1:10" x14ac:dyDescent="0.25">
      <c r="A142" s="1">
        <v>45143</v>
      </c>
      <c r="B142" t="s">
        <v>173</v>
      </c>
      <c r="C142" t="s">
        <v>11</v>
      </c>
      <c r="D142">
        <v>38</v>
      </c>
      <c r="E142" t="s">
        <v>21</v>
      </c>
      <c r="F142">
        <v>1</v>
      </c>
      <c r="G142">
        <v>30</v>
      </c>
      <c r="H142">
        <v>30</v>
      </c>
      <c r="I142" t="s">
        <v>42</v>
      </c>
      <c r="J142" t="s">
        <v>27</v>
      </c>
    </row>
    <row r="143" spans="1:10" x14ac:dyDescent="0.25">
      <c r="A143" s="1">
        <v>45232</v>
      </c>
      <c r="B143" t="s">
        <v>174</v>
      </c>
      <c r="C143" t="s">
        <v>16</v>
      </c>
      <c r="D143">
        <v>22</v>
      </c>
      <c r="E143" t="s">
        <v>21</v>
      </c>
      <c r="F143">
        <v>1</v>
      </c>
      <c r="G143">
        <v>50</v>
      </c>
      <c r="H143">
        <v>50</v>
      </c>
      <c r="I143" t="s">
        <v>13</v>
      </c>
      <c r="J143" t="s">
        <v>58</v>
      </c>
    </row>
    <row r="144" spans="1:10" x14ac:dyDescent="0.25">
      <c r="A144" s="1">
        <v>44959</v>
      </c>
      <c r="B144" t="s">
        <v>175</v>
      </c>
      <c r="C144" t="s">
        <v>11</v>
      </c>
      <c r="D144">
        <v>35</v>
      </c>
      <c r="E144" t="s">
        <v>21</v>
      </c>
      <c r="F144">
        <v>4</v>
      </c>
      <c r="G144">
        <v>300</v>
      </c>
      <c r="H144">
        <v>1200</v>
      </c>
      <c r="I144" t="s">
        <v>18</v>
      </c>
      <c r="J144" t="s">
        <v>58</v>
      </c>
    </row>
    <row r="145" spans="1:10" x14ac:dyDescent="0.25">
      <c r="A145" s="1">
        <v>45124</v>
      </c>
      <c r="B145" t="s">
        <v>176</v>
      </c>
      <c r="C145" t="s">
        <v>16</v>
      </c>
      <c r="D145">
        <v>45</v>
      </c>
      <c r="E145" t="s">
        <v>17</v>
      </c>
      <c r="F145">
        <v>1</v>
      </c>
      <c r="G145">
        <v>50</v>
      </c>
      <c r="H145">
        <v>50</v>
      </c>
      <c r="I145" t="s">
        <v>76</v>
      </c>
      <c r="J145" t="s">
        <v>19</v>
      </c>
    </row>
    <row r="146" spans="1:10" x14ac:dyDescent="0.25">
      <c r="A146" s="1">
        <v>45122</v>
      </c>
      <c r="B146" t="s">
        <v>177</v>
      </c>
      <c r="C146" t="s">
        <v>16</v>
      </c>
      <c r="D146">
        <v>59</v>
      </c>
      <c r="E146" t="s">
        <v>12</v>
      </c>
      <c r="F146">
        <v>3</v>
      </c>
      <c r="G146">
        <v>500</v>
      </c>
      <c r="H146">
        <v>1500</v>
      </c>
      <c r="I146" t="s">
        <v>76</v>
      </c>
      <c r="J146" t="s">
        <v>27</v>
      </c>
    </row>
    <row r="147" spans="1:10" x14ac:dyDescent="0.25">
      <c r="A147" s="1">
        <v>45232</v>
      </c>
      <c r="B147" t="s">
        <v>178</v>
      </c>
      <c r="C147" t="s">
        <v>16</v>
      </c>
      <c r="D147">
        <v>39</v>
      </c>
      <c r="E147" t="s">
        <v>17</v>
      </c>
      <c r="F147">
        <v>3</v>
      </c>
      <c r="G147">
        <v>25</v>
      </c>
      <c r="H147">
        <v>75</v>
      </c>
      <c r="I147" t="s">
        <v>13</v>
      </c>
      <c r="J147" t="s">
        <v>58</v>
      </c>
    </row>
    <row r="148" spans="1:10" x14ac:dyDescent="0.25">
      <c r="A148" s="1">
        <v>45166</v>
      </c>
      <c r="B148" t="s">
        <v>179</v>
      </c>
      <c r="C148" t="s">
        <v>11</v>
      </c>
      <c r="D148">
        <v>38</v>
      </c>
      <c r="E148" t="s">
        <v>17</v>
      </c>
      <c r="F148">
        <v>4</v>
      </c>
      <c r="G148">
        <v>50</v>
      </c>
      <c r="H148">
        <v>200</v>
      </c>
      <c r="I148" t="s">
        <v>42</v>
      </c>
      <c r="J148" t="s">
        <v>19</v>
      </c>
    </row>
    <row r="149" spans="1:10" x14ac:dyDescent="0.25">
      <c r="A149" s="1">
        <v>45197</v>
      </c>
      <c r="B149" t="s">
        <v>180</v>
      </c>
      <c r="C149" t="s">
        <v>11</v>
      </c>
      <c r="D149">
        <v>23</v>
      </c>
      <c r="E149" t="s">
        <v>21</v>
      </c>
      <c r="F149">
        <v>1</v>
      </c>
      <c r="G149">
        <v>300</v>
      </c>
      <c r="H149">
        <v>300</v>
      </c>
      <c r="I149" t="s">
        <v>49</v>
      </c>
      <c r="J149" t="s">
        <v>58</v>
      </c>
    </row>
    <row r="150" spans="1:10" x14ac:dyDescent="0.25">
      <c r="A150" s="1">
        <v>45055</v>
      </c>
      <c r="B150" t="s">
        <v>181</v>
      </c>
      <c r="C150" t="s">
        <v>11</v>
      </c>
      <c r="D150">
        <v>18</v>
      </c>
      <c r="E150" t="s">
        <v>17</v>
      </c>
      <c r="F150">
        <v>2</v>
      </c>
      <c r="G150">
        <v>30</v>
      </c>
      <c r="H150">
        <v>60</v>
      </c>
      <c r="I150" t="s">
        <v>24</v>
      </c>
      <c r="J150" t="s">
        <v>30</v>
      </c>
    </row>
    <row r="151" spans="1:10" x14ac:dyDescent="0.25">
      <c r="A151" s="1">
        <v>45210</v>
      </c>
      <c r="B151" t="s">
        <v>182</v>
      </c>
      <c r="C151" t="s">
        <v>11</v>
      </c>
      <c r="D151">
        <v>22</v>
      </c>
      <c r="E151" t="s">
        <v>17</v>
      </c>
      <c r="F151">
        <v>3</v>
      </c>
      <c r="G151">
        <v>25</v>
      </c>
      <c r="H151">
        <v>75</v>
      </c>
      <c r="I151" t="s">
        <v>38</v>
      </c>
      <c r="J151" t="s">
        <v>34</v>
      </c>
    </row>
    <row r="152" spans="1:10" x14ac:dyDescent="0.25">
      <c r="A152" s="1">
        <v>44932</v>
      </c>
      <c r="B152" t="s">
        <v>183</v>
      </c>
      <c r="C152" t="s">
        <v>16</v>
      </c>
      <c r="D152">
        <v>58</v>
      </c>
      <c r="E152" t="s">
        <v>21</v>
      </c>
      <c r="F152">
        <v>4</v>
      </c>
      <c r="G152">
        <v>30</v>
      </c>
      <c r="H152">
        <v>120</v>
      </c>
      <c r="I152" t="s">
        <v>22</v>
      </c>
      <c r="J152" t="s">
        <v>14</v>
      </c>
    </row>
    <row r="153" spans="1:10" x14ac:dyDescent="0.25">
      <c r="A153" s="1">
        <v>45275</v>
      </c>
      <c r="B153" t="s">
        <v>184</v>
      </c>
      <c r="C153" t="s">
        <v>11</v>
      </c>
      <c r="D153">
        <v>29</v>
      </c>
      <c r="E153" t="s">
        <v>17</v>
      </c>
      <c r="F153">
        <v>1</v>
      </c>
      <c r="G153">
        <v>50</v>
      </c>
      <c r="H153">
        <v>50</v>
      </c>
      <c r="I153" t="s">
        <v>36</v>
      </c>
      <c r="J153" t="s">
        <v>14</v>
      </c>
    </row>
    <row r="154" spans="1:10" x14ac:dyDescent="0.25">
      <c r="A154" s="1">
        <v>44985</v>
      </c>
      <c r="B154" t="s">
        <v>185</v>
      </c>
      <c r="C154" t="s">
        <v>11</v>
      </c>
      <c r="D154">
        <v>43</v>
      </c>
      <c r="E154" t="s">
        <v>21</v>
      </c>
      <c r="F154">
        <v>4</v>
      </c>
      <c r="G154">
        <v>500</v>
      </c>
      <c r="H154">
        <v>2000</v>
      </c>
      <c r="I154" t="s">
        <v>18</v>
      </c>
      <c r="J154" t="s">
        <v>30</v>
      </c>
    </row>
    <row r="155" spans="1:10" x14ac:dyDescent="0.25">
      <c r="A155" s="1">
        <v>45276</v>
      </c>
      <c r="B155" t="s">
        <v>186</v>
      </c>
      <c r="C155" t="s">
        <v>11</v>
      </c>
      <c r="D155">
        <v>63</v>
      </c>
      <c r="E155" t="s">
        <v>21</v>
      </c>
      <c r="F155">
        <v>2</v>
      </c>
      <c r="G155">
        <v>500</v>
      </c>
      <c r="H155">
        <v>1000</v>
      </c>
      <c r="I155" t="s">
        <v>36</v>
      </c>
      <c r="J155" t="s">
        <v>27</v>
      </c>
    </row>
    <row r="156" spans="1:10" x14ac:dyDescent="0.25">
      <c r="A156" s="1">
        <v>45201</v>
      </c>
      <c r="B156" t="s">
        <v>187</v>
      </c>
      <c r="C156" t="s">
        <v>11</v>
      </c>
      <c r="D156">
        <v>51</v>
      </c>
      <c r="E156" t="s">
        <v>21</v>
      </c>
      <c r="F156">
        <v>3</v>
      </c>
      <c r="G156">
        <v>300</v>
      </c>
      <c r="H156">
        <v>900</v>
      </c>
      <c r="I156" t="s">
        <v>38</v>
      </c>
      <c r="J156" t="s">
        <v>19</v>
      </c>
    </row>
    <row r="157" spans="1:10" x14ac:dyDescent="0.25">
      <c r="A157" s="1">
        <v>45063</v>
      </c>
      <c r="B157" t="s">
        <v>188</v>
      </c>
      <c r="C157" t="s">
        <v>11</v>
      </c>
      <c r="D157">
        <v>31</v>
      </c>
      <c r="E157" t="s">
        <v>21</v>
      </c>
      <c r="F157">
        <v>4</v>
      </c>
      <c r="G157">
        <v>500</v>
      </c>
      <c r="H157">
        <v>2000</v>
      </c>
      <c r="I157" t="s">
        <v>24</v>
      </c>
      <c r="J157" t="s">
        <v>34</v>
      </c>
    </row>
    <row r="158" spans="1:10" x14ac:dyDescent="0.25">
      <c r="A158" s="1">
        <v>45255</v>
      </c>
      <c r="B158" t="s">
        <v>189</v>
      </c>
      <c r="C158" t="s">
        <v>16</v>
      </c>
      <c r="D158">
        <v>43</v>
      </c>
      <c r="E158" t="s">
        <v>17</v>
      </c>
      <c r="F158">
        <v>4</v>
      </c>
      <c r="G158">
        <v>25</v>
      </c>
      <c r="H158">
        <v>100</v>
      </c>
      <c r="I158" t="s">
        <v>13</v>
      </c>
      <c r="J158" t="s">
        <v>27</v>
      </c>
    </row>
    <row r="159" spans="1:10" x14ac:dyDescent="0.25">
      <c r="A159" s="1">
        <v>45101</v>
      </c>
      <c r="B159" t="s">
        <v>190</v>
      </c>
      <c r="C159" t="s">
        <v>11</v>
      </c>
      <c r="D159">
        <v>62</v>
      </c>
      <c r="E159" t="s">
        <v>21</v>
      </c>
      <c r="F159">
        <v>4</v>
      </c>
      <c r="G159">
        <v>500</v>
      </c>
      <c r="H159">
        <v>2000</v>
      </c>
      <c r="I159" t="s">
        <v>68</v>
      </c>
      <c r="J159" t="s">
        <v>27</v>
      </c>
    </row>
    <row r="160" spans="1:10" x14ac:dyDescent="0.25">
      <c r="A160" s="1">
        <v>44984</v>
      </c>
      <c r="B160" t="s">
        <v>191</v>
      </c>
      <c r="C160" t="s">
        <v>16</v>
      </c>
      <c r="D160">
        <v>44</v>
      </c>
      <c r="E160" t="s">
        <v>21</v>
      </c>
      <c r="F160">
        <v>2</v>
      </c>
      <c r="G160">
        <v>300</v>
      </c>
      <c r="H160">
        <v>600</v>
      </c>
      <c r="I160" t="s">
        <v>18</v>
      </c>
      <c r="J160" t="s">
        <v>19</v>
      </c>
    </row>
    <row r="161" spans="1:10" x14ac:dyDescent="0.25">
      <c r="A161" s="1">
        <v>45077</v>
      </c>
      <c r="B161" t="s">
        <v>192</v>
      </c>
      <c r="C161" t="s">
        <v>11</v>
      </c>
      <c r="D161">
        <v>26</v>
      </c>
      <c r="E161" t="s">
        <v>17</v>
      </c>
      <c r="F161">
        <v>4</v>
      </c>
      <c r="G161">
        <v>50</v>
      </c>
      <c r="H161">
        <v>200</v>
      </c>
      <c r="I161" t="s">
        <v>24</v>
      </c>
      <c r="J161" t="s">
        <v>34</v>
      </c>
    </row>
    <row r="162" spans="1:10" x14ac:dyDescent="0.25">
      <c r="A162" s="1">
        <v>45149</v>
      </c>
      <c r="B162" t="s">
        <v>193</v>
      </c>
      <c r="C162" t="s">
        <v>16</v>
      </c>
      <c r="D162">
        <v>43</v>
      </c>
      <c r="E162" t="s">
        <v>17</v>
      </c>
      <c r="F162">
        <v>2</v>
      </c>
      <c r="G162">
        <v>50</v>
      </c>
      <c r="H162">
        <v>100</v>
      </c>
      <c r="I162" t="s">
        <v>42</v>
      </c>
      <c r="J162" t="s">
        <v>14</v>
      </c>
    </row>
    <row r="163" spans="1:10" x14ac:dyDescent="0.25">
      <c r="A163" s="1">
        <v>45007</v>
      </c>
      <c r="B163" t="s">
        <v>194</v>
      </c>
      <c r="C163" t="s">
        <v>11</v>
      </c>
      <c r="D163">
        <v>64</v>
      </c>
      <c r="E163" t="s">
        <v>12</v>
      </c>
      <c r="F163">
        <v>2</v>
      </c>
      <c r="G163">
        <v>500</v>
      </c>
      <c r="H163">
        <v>1000</v>
      </c>
      <c r="I163" t="s">
        <v>32</v>
      </c>
      <c r="J163" t="s">
        <v>34</v>
      </c>
    </row>
    <row r="164" spans="1:10" x14ac:dyDescent="0.25">
      <c r="A164" s="1">
        <v>45159</v>
      </c>
      <c r="B164" t="s">
        <v>195</v>
      </c>
      <c r="C164" t="s">
        <v>11</v>
      </c>
      <c r="D164">
        <v>39</v>
      </c>
      <c r="E164" t="s">
        <v>17</v>
      </c>
      <c r="F164">
        <v>2</v>
      </c>
      <c r="G164">
        <v>30</v>
      </c>
      <c r="H164">
        <v>60</v>
      </c>
      <c r="I164" t="s">
        <v>42</v>
      </c>
      <c r="J164" t="s">
        <v>19</v>
      </c>
    </row>
    <row r="165" spans="1:10" x14ac:dyDescent="0.25">
      <c r="A165" s="1">
        <v>44928</v>
      </c>
      <c r="B165" t="s">
        <v>196</v>
      </c>
      <c r="C165" t="s">
        <v>16</v>
      </c>
      <c r="D165">
        <v>64</v>
      </c>
      <c r="E165" t="s">
        <v>17</v>
      </c>
      <c r="F165">
        <v>3</v>
      </c>
      <c r="G165">
        <v>50</v>
      </c>
      <c r="H165">
        <v>150</v>
      </c>
      <c r="I165" t="s">
        <v>22</v>
      </c>
      <c r="J165" t="s">
        <v>19</v>
      </c>
    </row>
    <row r="166" spans="1:10" x14ac:dyDescent="0.25">
      <c r="A166" s="1">
        <v>45061</v>
      </c>
      <c r="B166" t="s">
        <v>197</v>
      </c>
      <c r="C166" t="s">
        <v>16</v>
      </c>
      <c r="D166">
        <v>47</v>
      </c>
      <c r="E166" t="s">
        <v>12</v>
      </c>
      <c r="F166">
        <v>3</v>
      </c>
      <c r="G166">
        <v>500</v>
      </c>
      <c r="H166">
        <v>1500</v>
      </c>
      <c r="I166" t="s">
        <v>24</v>
      </c>
      <c r="J166" t="s">
        <v>19</v>
      </c>
    </row>
    <row r="167" spans="1:10" x14ac:dyDescent="0.25">
      <c r="A167" s="1">
        <v>45183</v>
      </c>
      <c r="B167" t="s">
        <v>198</v>
      </c>
      <c r="C167" t="s">
        <v>16</v>
      </c>
      <c r="D167">
        <v>60</v>
      </c>
      <c r="E167" t="s">
        <v>17</v>
      </c>
      <c r="F167">
        <v>4</v>
      </c>
      <c r="G167">
        <v>300</v>
      </c>
      <c r="H167">
        <v>1200</v>
      </c>
      <c r="I167" t="s">
        <v>49</v>
      </c>
      <c r="J167" t="s">
        <v>58</v>
      </c>
    </row>
    <row r="168" spans="1:10" x14ac:dyDescent="0.25">
      <c r="A168" s="1">
        <v>45018</v>
      </c>
      <c r="B168" t="s">
        <v>199</v>
      </c>
      <c r="C168" t="s">
        <v>11</v>
      </c>
      <c r="D168">
        <v>34</v>
      </c>
      <c r="E168" t="s">
        <v>17</v>
      </c>
      <c r="F168">
        <v>4</v>
      </c>
      <c r="G168">
        <v>500</v>
      </c>
      <c r="H168">
        <v>2000</v>
      </c>
      <c r="I168" t="s">
        <v>29</v>
      </c>
      <c r="J168" t="s">
        <v>25</v>
      </c>
    </row>
    <row r="169" spans="1:10" x14ac:dyDescent="0.25">
      <c r="A169" s="1">
        <v>45186</v>
      </c>
      <c r="B169" t="s">
        <v>200</v>
      </c>
      <c r="C169" t="s">
        <v>16</v>
      </c>
      <c r="D169">
        <v>43</v>
      </c>
      <c r="E169" t="s">
        <v>17</v>
      </c>
      <c r="F169">
        <v>3</v>
      </c>
      <c r="G169">
        <v>50</v>
      </c>
      <c r="H169">
        <v>150</v>
      </c>
      <c r="I169" t="s">
        <v>49</v>
      </c>
      <c r="J169" t="s">
        <v>25</v>
      </c>
    </row>
    <row r="170" spans="1:10" x14ac:dyDescent="0.25">
      <c r="A170" s="1">
        <v>44981</v>
      </c>
      <c r="B170" t="s">
        <v>201</v>
      </c>
      <c r="C170" t="s">
        <v>11</v>
      </c>
      <c r="D170">
        <v>53</v>
      </c>
      <c r="E170" t="s">
        <v>17</v>
      </c>
      <c r="F170">
        <v>1</v>
      </c>
      <c r="G170">
        <v>300</v>
      </c>
      <c r="H170">
        <v>300</v>
      </c>
      <c r="I170" t="s">
        <v>18</v>
      </c>
      <c r="J170" t="s">
        <v>14</v>
      </c>
    </row>
    <row r="171" spans="1:10" x14ac:dyDescent="0.25">
      <c r="A171" s="1">
        <v>45247</v>
      </c>
      <c r="B171" t="s">
        <v>202</v>
      </c>
      <c r="C171" t="s">
        <v>11</v>
      </c>
      <c r="D171">
        <v>18</v>
      </c>
      <c r="E171" t="s">
        <v>12</v>
      </c>
      <c r="F171">
        <v>3</v>
      </c>
      <c r="G171">
        <v>500</v>
      </c>
      <c r="H171">
        <v>1500</v>
      </c>
      <c r="I171" t="s">
        <v>13</v>
      </c>
      <c r="J171" t="s">
        <v>14</v>
      </c>
    </row>
    <row r="172" spans="1:10" x14ac:dyDescent="0.25">
      <c r="A172" s="1">
        <v>45079</v>
      </c>
      <c r="B172" t="s">
        <v>203</v>
      </c>
      <c r="C172" t="s">
        <v>16</v>
      </c>
      <c r="D172">
        <v>25</v>
      </c>
      <c r="E172" t="s">
        <v>17</v>
      </c>
      <c r="F172">
        <v>2</v>
      </c>
      <c r="G172">
        <v>25</v>
      </c>
      <c r="H172">
        <v>50</v>
      </c>
      <c r="I172" t="s">
        <v>68</v>
      </c>
      <c r="J172" t="s">
        <v>14</v>
      </c>
    </row>
    <row r="173" spans="1:10" x14ac:dyDescent="0.25">
      <c r="A173" s="1">
        <v>45254</v>
      </c>
      <c r="B173" t="s">
        <v>204</v>
      </c>
      <c r="C173" t="s">
        <v>16</v>
      </c>
      <c r="D173">
        <v>52</v>
      </c>
      <c r="E173" t="s">
        <v>17</v>
      </c>
      <c r="F173">
        <v>3</v>
      </c>
      <c r="G173">
        <v>300</v>
      </c>
      <c r="H173">
        <v>900</v>
      </c>
      <c r="I173" t="s">
        <v>13</v>
      </c>
      <c r="J173" t="s">
        <v>14</v>
      </c>
    </row>
    <row r="174" spans="1:10" x14ac:dyDescent="0.25">
      <c r="A174" s="1">
        <v>45186</v>
      </c>
      <c r="B174" t="s">
        <v>205</v>
      </c>
      <c r="C174" t="s">
        <v>11</v>
      </c>
      <c r="D174">
        <v>32</v>
      </c>
      <c r="E174" t="s">
        <v>12</v>
      </c>
      <c r="F174">
        <v>2</v>
      </c>
      <c r="G174">
        <v>25</v>
      </c>
      <c r="H174">
        <v>50</v>
      </c>
      <c r="I174" t="s">
        <v>49</v>
      </c>
      <c r="J174" t="s">
        <v>25</v>
      </c>
    </row>
    <row r="175" spans="1:10" x14ac:dyDescent="0.25">
      <c r="A175" s="1">
        <v>45238</v>
      </c>
      <c r="B175" t="s">
        <v>206</v>
      </c>
      <c r="C175" t="s">
        <v>11</v>
      </c>
      <c r="D175">
        <v>64</v>
      </c>
      <c r="E175" t="s">
        <v>21</v>
      </c>
      <c r="F175">
        <v>4</v>
      </c>
      <c r="G175">
        <v>30</v>
      </c>
      <c r="H175">
        <v>120</v>
      </c>
      <c r="I175" t="s">
        <v>13</v>
      </c>
      <c r="J175" t="s">
        <v>34</v>
      </c>
    </row>
    <row r="176" spans="1:10" x14ac:dyDescent="0.25">
      <c r="A176" s="1">
        <v>45028</v>
      </c>
      <c r="B176" t="s">
        <v>207</v>
      </c>
      <c r="C176" t="s">
        <v>16</v>
      </c>
      <c r="D176">
        <v>39</v>
      </c>
      <c r="E176" t="s">
        <v>12</v>
      </c>
      <c r="F176">
        <v>1</v>
      </c>
      <c r="G176">
        <v>300</v>
      </c>
      <c r="H176">
        <v>300</v>
      </c>
      <c r="I176" t="s">
        <v>29</v>
      </c>
      <c r="J176" t="s">
        <v>34</v>
      </c>
    </row>
    <row r="177" spans="1:10" x14ac:dyDescent="0.25">
      <c r="A177" s="1">
        <v>45005</v>
      </c>
      <c r="B177" t="s">
        <v>208</v>
      </c>
      <c r="C177" t="s">
        <v>16</v>
      </c>
      <c r="D177">
        <v>31</v>
      </c>
      <c r="E177" t="s">
        <v>21</v>
      </c>
      <c r="F177">
        <v>4</v>
      </c>
      <c r="G177">
        <v>25</v>
      </c>
      <c r="H177">
        <v>100</v>
      </c>
      <c r="I177" t="s">
        <v>32</v>
      </c>
      <c r="J177" t="s">
        <v>19</v>
      </c>
    </row>
    <row r="178" spans="1:10" x14ac:dyDescent="0.25">
      <c r="A178" s="1">
        <v>45118</v>
      </c>
      <c r="B178" t="s">
        <v>209</v>
      </c>
      <c r="C178" t="s">
        <v>16</v>
      </c>
      <c r="D178">
        <v>43</v>
      </c>
      <c r="E178" t="s">
        <v>12</v>
      </c>
      <c r="F178">
        <v>2</v>
      </c>
      <c r="G178">
        <v>50</v>
      </c>
      <c r="H178">
        <v>100</v>
      </c>
      <c r="I178" t="s">
        <v>76</v>
      </c>
      <c r="J178" t="s">
        <v>30</v>
      </c>
    </row>
    <row r="179" spans="1:10" x14ac:dyDescent="0.25">
      <c r="A179" s="1">
        <v>45009</v>
      </c>
      <c r="B179" t="s">
        <v>210</v>
      </c>
      <c r="C179" t="s">
        <v>11</v>
      </c>
      <c r="D179">
        <v>45</v>
      </c>
      <c r="E179" t="s">
        <v>12</v>
      </c>
      <c r="F179">
        <v>2</v>
      </c>
      <c r="G179">
        <v>50</v>
      </c>
      <c r="H179">
        <v>100</v>
      </c>
      <c r="I179" t="s">
        <v>32</v>
      </c>
      <c r="J179" t="s">
        <v>14</v>
      </c>
    </row>
    <row r="180" spans="1:10" x14ac:dyDescent="0.25">
      <c r="A180" s="1">
        <v>45203</v>
      </c>
      <c r="B180" t="s">
        <v>211</v>
      </c>
      <c r="C180" t="s">
        <v>11</v>
      </c>
      <c r="D180">
        <v>40</v>
      </c>
      <c r="E180" t="s">
        <v>17</v>
      </c>
      <c r="F180">
        <v>2</v>
      </c>
      <c r="G180">
        <v>30</v>
      </c>
      <c r="H180">
        <v>60</v>
      </c>
      <c r="I180" t="s">
        <v>38</v>
      </c>
      <c r="J180" t="s">
        <v>34</v>
      </c>
    </row>
    <row r="181" spans="1:10" x14ac:dyDescent="0.25">
      <c r="A181" s="1">
        <v>45198</v>
      </c>
      <c r="B181" t="s">
        <v>212</v>
      </c>
      <c r="C181" t="s">
        <v>11</v>
      </c>
      <c r="D181">
        <v>31</v>
      </c>
      <c r="E181" t="s">
        <v>21</v>
      </c>
      <c r="F181">
        <v>1</v>
      </c>
      <c r="G181">
        <v>300</v>
      </c>
      <c r="H181">
        <v>300</v>
      </c>
      <c r="I181" t="s">
        <v>49</v>
      </c>
      <c r="J181" t="s">
        <v>14</v>
      </c>
    </row>
    <row r="182" spans="1:10" x14ac:dyDescent="0.25">
      <c r="A182" s="1">
        <v>44927</v>
      </c>
      <c r="B182" t="s">
        <v>213</v>
      </c>
      <c r="C182" t="s">
        <v>11</v>
      </c>
      <c r="D182">
        <v>41</v>
      </c>
      <c r="E182" t="s">
        <v>17</v>
      </c>
      <c r="F182">
        <v>3</v>
      </c>
      <c r="G182">
        <v>300</v>
      </c>
      <c r="H182">
        <v>900</v>
      </c>
      <c r="I182" t="s">
        <v>22</v>
      </c>
      <c r="J182" t="s">
        <v>25</v>
      </c>
    </row>
    <row r="183" spans="1:10" x14ac:dyDescent="0.25">
      <c r="A183" s="1">
        <v>45233</v>
      </c>
      <c r="B183" t="s">
        <v>214</v>
      </c>
      <c r="C183" t="s">
        <v>11</v>
      </c>
      <c r="D183">
        <v>19</v>
      </c>
      <c r="E183" t="s">
        <v>21</v>
      </c>
      <c r="F183">
        <v>4</v>
      </c>
      <c r="G183">
        <v>300</v>
      </c>
      <c r="H183">
        <v>1200</v>
      </c>
      <c r="I183" t="s">
        <v>13</v>
      </c>
      <c r="J183" t="s">
        <v>14</v>
      </c>
    </row>
    <row r="184" spans="1:10" x14ac:dyDescent="0.25">
      <c r="A184" s="1">
        <v>45092</v>
      </c>
      <c r="B184" t="s">
        <v>215</v>
      </c>
      <c r="C184" t="s">
        <v>11</v>
      </c>
      <c r="D184">
        <v>62</v>
      </c>
      <c r="E184" t="s">
        <v>12</v>
      </c>
      <c r="F184">
        <v>4</v>
      </c>
      <c r="G184">
        <v>30</v>
      </c>
      <c r="H184">
        <v>120</v>
      </c>
      <c r="I184" t="s">
        <v>68</v>
      </c>
      <c r="J184" t="s">
        <v>58</v>
      </c>
    </row>
    <row r="185" spans="1:10" x14ac:dyDescent="0.25">
      <c r="A185" s="1">
        <v>45177</v>
      </c>
      <c r="B185" t="s">
        <v>216</v>
      </c>
      <c r="C185" t="s">
        <v>16</v>
      </c>
      <c r="D185">
        <v>43</v>
      </c>
      <c r="E185" t="s">
        <v>12</v>
      </c>
      <c r="F185">
        <v>3</v>
      </c>
      <c r="G185">
        <v>300</v>
      </c>
      <c r="H185">
        <v>900</v>
      </c>
      <c r="I185" t="s">
        <v>49</v>
      </c>
      <c r="J185" t="s">
        <v>14</v>
      </c>
    </row>
    <row r="186" spans="1:10" x14ac:dyDescent="0.25">
      <c r="A186" s="1">
        <v>44936</v>
      </c>
      <c r="B186" t="s">
        <v>217</v>
      </c>
      <c r="C186" t="s">
        <v>11</v>
      </c>
      <c r="D186">
        <v>31</v>
      </c>
      <c r="E186" t="s">
        <v>21</v>
      </c>
      <c r="F186">
        <v>4</v>
      </c>
      <c r="G186">
        <v>50</v>
      </c>
      <c r="H186">
        <v>200</v>
      </c>
      <c r="I186" t="s">
        <v>22</v>
      </c>
      <c r="J186" t="s">
        <v>30</v>
      </c>
    </row>
    <row r="187" spans="1:10" x14ac:dyDescent="0.25">
      <c r="A187" s="1">
        <v>44984</v>
      </c>
      <c r="B187" t="s">
        <v>218</v>
      </c>
      <c r="C187" t="s">
        <v>11</v>
      </c>
      <c r="D187">
        <v>24</v>
      </c>
      <c r="E187" t="s">
        <v>17</v>
      </c>
      <c r="F187">
        <v>1</v>
      </c>
      <c r="G187">
        <v>25</v>
      </c>
      <c r="H187">
        <v>25</v>
      </c>
      <c r="I187" t="s">
        <v>18</v>
      </c>
      <c r="J187" t="s">
        <v>19</v>
      </c>
    </row>
    <row r="188" spans="1:10" x14ac:dyDescent="0.25">
      <c r="A188" s="1">
        <v>45112</v>
      </c>
      <c r="B188" t="s">
        <v>219</v>
      </c>
      <c r="C188" t="s">
        <v>11</v>
      </c>
      <c r="D188">
        <v>20</v>
      </c>
      <c r="E188" t="s">
        <v>17</v>
      </c>
      <c r="F188">
        <v>4</v>
      </c>
      <c r="G188">
        <v>50</v>
      </c>
      <c r="H188">
        <v>200</v>
      </c>
      <c r="I188" t="s">
        <v>76</v>
      </c>
      <c r="J188" t="s">
        <v>34</v>
      </c>
    </row>
    <row r="189" spans="1:10" x14ac:dyDescent="0.25">
      <c r="A189" s="1">
        <v>45084</v>
      </c>
      <c r="B189" t="s">
        <v>220</v>
      </c>
      <c r="C189" t="s">
        <v>16</v>
      </c>
      <c r="D189">
        <v>64</v>
      </c>
      <c r="E189" t="s">
        <v>17</v>
      </c>
      <c r="F189">
        <v>2</v>
      </c>
      <c r="G189">
        <v>50</v>
      </c>
      <c r="H189">
        <v>100</v>
      </c>
      <c r="I189" t="s">
        <v>68</v>
      </c>
      <c r="J189" t="s">
        <v>34</v>
      </c>
    </row>
    <row r="190" spans="1:10" x14ac:dyDescent="0.25">
      <c r="A190" s="1">
        <v>45049</v>
      </c>
      <c r="B190" t="s">
        <v>221</v>
      </c>
      <c r="C190" t="s">
        <v>11</v>
      </c>
      <c r="D190">
        <v>40</v>
      </c>
      <c r="E190" t="s">
        <v>17</v>
      </c>
      <c r="F190">
        <v>3</v>
      </c>
      <c r="G190">
        <v>25</v>
      </c>
      <c r="H190">
        <v>75</v>
      </c>
      <c r="I190" t="s">
        <v>24</v>
      </c>
      <c r="J190" t="s">
        <v>34</v>
      </c>
    </row>
    <row r="191" spans="1:10" x14ac:dyDescent="0.25">
      <c r="A191" s="1">
        <v>44956</v>
      </c>
      <c r="B191" t="s">
        <v>222</v>
      </c>
      <c r="C191" t="s">
        <v>11</v>
      </c>
      <c r="D191">
        <v>63</v>
      </c>
      <c r="E191" t="s">
        <v>12</v>
      </c>
      <c r="F191">
        <v>1</v>
      </c>
      <c r="G191">
        <v>50</v>
      </c>
      <c r="H191">
        <v>50</v>
      </c>
      <c r="I191" t="s">
        <v>22</v>
      </c>
      <c r="J191" t="s">
        <v>19</v>
      </c>
    </row>
    <row r="192" spans="1:10" x14ac:dyDescent="0.25">
      <c r="A192" s="1">
        <v>45050</v>
      </c>
      <c r="B192" t="s">
        <v>223</v>
      </c>
      <c r="C192" t="s">
        <v>16</v>
      </c>
      <c r="D192">
        <v>60</v>
      </c>
      <c r="E192" t="s">
        <v>12</v>
      </c>
      <c r="F192">
        <v>3</v>
      </c>
      <c r="G192">
        <v>30</v>
      </c>
      <c r="H192">
        <v>90</v>
      </c>
      <c r="I192" t="s">
        <v>24</v>
      </c>
      <c r="J192" t="s">
        <v>58</v>
      </c>
    </row>
    <row r="193" spans="1:10" x14ac:dyDescent="0.25">
      <c r="A193" s="1">
        <v>45217</v>
      </c>
      <c r="B193" t="s">
        <v>224</v>
      </c>
      <c r="C193" t="s">
        <v>11</v>
      </c>
      <c r="D193">
        <v>64</v>
      </c>
      <c r="E193" t="s">
        <v>12</v>
      </c>
      <c r="F193">
        <v>1</v>
      </c>
      <c r="G193">
        <v>25</v>
      </c>
      <c r="H193">
        <v>25</v>
      </c>
      <c r="I193" t="s">
        <v>38</v>
      </c>
      <c r="J193" t="s">
        <v>34</v>
      </c>
    </row>
    <row r="194" spans="1:10" x14ac:dyDescent="0.25">
      <c r="A194" s="1">
        <v>44967</v>
      </c>
      <c r="B194" t="s">
        <v>225</v>
      </c>
      <c r="C194" t="s">
        <v>11</v>
      </c>
      <c r="D194">
        <v>62</v>
      </c>
      <c r="E194" t="s">
        <v>12</v>
      </c>
      <c r="F194">
        <v>2</v>
      </c>
      <c r="G194">
        <v>50</v>
      </c>
      <c r="H194">
        <v>100</v>
      </c>
      <c r="I194" t="s">
        <v>18</v>
      </c>
      <c r="J194" t="s">
        <v>14</v>
      </c>
    </row>
    <row r="195" spans="1:10" x14ac:dyDescent="0.25">
      <c r="A195" s="1">
        <v>44970</v>
      </c>
      <c r="B195" t="s">
        <v>226</v>
      </c>
      <c r="C195" t="s">
        <v>11</v>
      </c>
      <c r="D195">
        <v>35</v>
      </c>
      <c r="E195" t="s">
        <v>12</v>
      </c>
      <c r="F195">
        <v>3</v>
      </c>
      <c r="G195">
        <v>500</v>
      </c>
      <c r="H195">
        <v>1500</v>
      </c>
      <c r="I195" t="s">
        <v>18</v>
      </c>
      <c r="J195" t="s">
        <v>19</v>
      </c>
    </row>
    <row r="196" spans="1:10" x14ac:dyDescent="0.25">
      <c r="A196" s="1">
        <v>45175</v>
      </c>
      <c r="B196" t="s">
        <v>227</v>
      </c>
      <c r="C196" t="s">
        <v>11</v>
      </c>
      <c r="D196">
        <v>55</v>
      </c>
      <c r="E196" t="s">
        <v>17</v>
      </c>
      <c r="F196">
        <v>4</v>
      </c>
      <c r="G196">
        <v>50</v>
      </c>
      <c r="H196">
        <v>200</v>
      </c>
      <c r="I196" t="s">
        <v>49</v>
      </c>
      <c r="J196" t="s">
        <v>34</v>
      </c>
    </row>
    <row r="197" spans="1:10" x14ac:dyDescent="0.25">
      <c r="A197" s="1">
        <v>44962</v>
      </c>
      <c r="B197" t="s">
        <v>228</v>
      </c>
      <c r="C197" t="s">
        <v>11</v>
      </c>
      <c r="D197">
        <v>52</v>
      </c>
      <c r="E197" t="s">
        <v>17</v>
      </c>
      <c r="F197">
        <v>1</v>
      </c>
      <c r="G197">
        <v>30</v>
      </c>
      <c r="H197">
        <v>30</v>
      </c>
      <c r="I197" t="s">
        <v>18</v>
      </c>
      <c r="J197" t="s">
        <v>25</v>
      </c>
    </row>
    <row r="198" spans="1:10" x14ac:dyDescent="0.25">
      <c r="A198" s="1">
        <v>45199</v>
      </c>
      <c r="B198" t="s">
        <v>229</v>
      </c>
      <c r="C198" t="s">
        <v>16</v>
      </c>
      <c r="D198">
        <v>32</v>
      </c>
      <c r="E198" t="s">
        <v>17</v>
      </c>
      <c r="F198">
        <v>3</v>
      </c>
      <c r="G198">
        <v>300</v>
      </c>
      <c r="H198">
        <v>900</v>
      </c>
      <c r="I198" t="s">
        <v>49</v>
      </c>
      <c r="J198" t="s">
        <v>27</v>
      </c>
    </row>
    <row r="199" spans="1:10" x14ac:dyDescent="0.25">
      <c r="A199" s="1">
        <v>44991</v>
      </c>
      <c r="B199" t="s">
        <v>230</v>
      </c>
      <c r="C199" t="s">
        <v>16</v>
      </c>
      <c r="D199">
        <v>42</v>
      </c>
      <c r="E199" t="s">
        <v>17</v>
      </c>
      <c r="F199">
        <v>4</v>
      </c>
      <c r="G199">
        <v>50</v>
      </c>
      <c r="H199">
        <v>200</v>
      </c>
      <c r="I199" t="s">
        <v>32</v>
      </c>
      <c r="J199" t="s">
        <v>19</v>
      </c>
    </row>
    <row r="200" spans="1:10" x14ac:dyDescent="0.25">
      <c r="A200" s="1">
        <v>44992</v>
      </c>
      <c r="B200" t="s">
        <v>231</v>
      </c>
      <c r="C200" t="s">
        <v>16</v>
      </c>
      <c r="D200">
        <v>54</v>
      </c>
      <c r="E200" t="s">
        <v>12</v>
      </c>
      <c r="F200">
        <v>3</v>
      </c>
      <c r="G200">
        <v>300</v>
      </c>
      <c r="H200">
        <v>900</v>
      </c>
      <c r="I200" t="s">
        <v>32</v>
      </c>
      <c r="J200" t="s">
        <v>30</v>
      </c>
    </row>
    <row r="201" spans="1:10" x14ac:dyDescent="0.25">
      <c r="A201" s="1">
        <v>45264</v>
      </c>
      <c r="B201" t="s">
        <v>232</v>
      </c>
      <c r="C201" t="s">
        <v>11</v>
      </c>
      <c r="D201">
        <v>45</v>
      </c>
      <c r="E201" t="s">
        <v>12</v>
      </c>
      <c r="F201">
        <v>3</v>
      </c>
      <c r="G201">
        <v>500</v>
      </c>
      <c r="H201">
        <v>1500</v>
      </c>
      <c r="I201" t="s">
        <v>36</v>
      </c>
      <c r="J201" t="s">
        <v>19</v>
      </c>
    </row>
    <row r="202" spans="1:10" x14ac:dyDescent="0.25">
      <c r="A202" s="1">
        <v>45170</v>
      </c>
      <c r="B202" t="s">
        <v>233</v>
      </c>
      <c r="C202" t="s">
        <v>11</v>
      </c>
      <c r="D202">
        <v>27</v>
      </c>
      <c r="E202" t="s">
        <v>12</v>
      </c>
      <c r="F202">
        <v>3</v>
      </c>
      <c r="G202">
        <v>50</v>
      </c>
      <c r="H202">
        <v>150</v>
      </c>
      <c r="I202" t="s">
        <v>49</v>
      </c>
      <c r="J202" t="s">
        <v>14</v>
      </c>
    </row>
    <row r="203" spans="1:10" x14ac:dyDescent="0.25">
      <c r="A203" s="1">
        <v>45208</v>
      </c>
      <c r="B203" t="s">
        <v>234</v>
      </c>
      <c r="C203" t="s">
        <v>11</v>
      </c>
      <c r="D203">
        <v>56</v>
      </c>
      <c r="E203" t="s">
        <v>21</v>
      </c>
      <c r="F203">
        <v>1</v>
      </c>
      <c r="G203">
        <v>25</v>
      </c>
      <c r="H203">
        <v>25</v>
      </c>
      <c r="I203" t="s">
        <v>38</v>
      </c>
      <c r="J203" t="s">
        <v>19</v>
      </c>
    </row>
    <row r="204" spans="1:10" x14ac:dyDescent="0.25">
      <c r="A204" s="1">
        <v>45011</v>
      </c>
      <c r="B204" t="s">
        <v>235</v>
      </c>
      <c r="C204" t="s">
        <v>16</v>
      </c>
      <c r="D204">
        <v>34</v>
      </c>
      <c r="E204" t="s">
        <v>17</v>
      </c>
      <c r="F204">
        <v>4</v>
      </c>
      <c r="G204">
        <v>300</v>
      </c>
      <c r="H204">
        <v>1200</v>
      </c>
      <c r="I204" t="s">
        <v>32</v>
      </c>
      <c r="J204" t="s">
        <v>25</v>
      </c>
    </row>
    <row r="205" spans="1:10" x14ac:dyDescent="0.25">
      <c r="A205" s="1">
        <v>45062</v>
      </c>
      <c r="B205" t="s">
        <v>236</v>
      </c>
      <c r="C205" t="s">
        <v>11</v>
      </c>
      <c r="D205">
        <v>56</v>
      </c>
      <c r="E205" t="s">
        <v>17</v>
      </c>
      <c r="F205">
        <v>2</v>
      </c>
      <c r="G205">
        <v>500</v>
      </c>
      <c r="H205">
        <v>1000</v>
      </c>
      <c r="I205" t="s">
        <v>24</v>
      </c>
      <c r="J205" t="s">
        <v>30</v>
      </c>
    </row>
    <row r="206" spans="1:10" x14ac:dyDescent="0.25">
      <c r="A206" s="1">
        <v>45197</v>
      </c>
      <c r="B206" t="s">
        <v>237</v>
      </c>
      <c r="C206" t="s">
        <v>11</v>
      </c>
      <c r="D206">
        <v>39</v>
      </c>
      <c r="E206" t="s">
        <v>12</v>
      </c>
      <c r="F206">
        <v>1</v>
      </c>
      <c r="G206">
        <v>25</v>
      </c>
      <c r="H206">
        <v>25</v>
      </c>
      <c r="I206" t="s">
        <v>49</v>
      </c>
      <c r="J206" t="s">
        <v>58</v>
      </c>
    </row>
    <row r="207" spans="1:10" x14ac:dyDescent="0.25">
      <c r="A207" s="1">
        <v>45237</v>
      </c>
      <c r="B207" t="s">
        <v>238</v>
      </c>
      <c r="C207" t="s">
        <v>16</v>
      </c>
      <c r="D207">
        <v>43</v>
      </c>
      <c r="E207" t="s">
        <v>17</v>
      </c>
      <c r="F207">
        <v>1</v>
      </c>
      <c r="G207">
        <v>25</v>
      </c>
      <c r="H207">
        <v>25</v>
      </c>
      <c r="I207" t="s">
        <v>13</v>
      </c>
      <c r="J207" t="s">
        <v>30</v>
      </c>
    </row>
    <row r="208" spans="1:10" x14ac:dyDescent="0.25">
      <c r="A208" s="1">
        <v>45143</v>
      </c>
      <c r="B208" t="s">
        <v>239</v>
      </c>
      <c r="C208" t="s">
        <v>11</v>
      </c>
      <c r="D208">
        <v>61</v>
      </c>
      <c r="E208" t="s">
        <v>17</v>
      </c>
      <c r="F208">
        <v>1</v>
      </c>
      <c r="G208">
        <v>25</v>
      </c>
      <c r="H208">
        <v>25</v>
      </c>
      <c r="I208" t="s">
        <v>42</v>
      </c>
      <c r="J208" t="s">
        <v>27</v>
      </c>
    </row>
    <row r="209" spans="1:10" x14ac:dyDescent="0.25">
      <c r="A209" s="1">
        <v>45035</v>
      </c>
      <c r="B209" t="s">
        <v>240</v>
      </c>
      <c r="C209" t="s">
        <v>16</v>
      </c>
      <c r="D209">
        <v>42</v>
      </c>
      <c r="E209" t="s">
        <v>12</v>
      </c>
      <c r="F209">
        <v>2</v>
      </c>
      <c r="G209">
        <v>25</v>
      </c>
      <c r="H209">
        <v>50</v>
      </c>
      <c r="I209" t="s">
        <v>29</v>
      </c>
      <c r="J209" t="s">
        <v>34</v>
      </c>
    </row>
    <row r="210" spans="1:10" x14ac:dyDescent="0.25">
      <c r="A210" s="1">
        <v>45203</v>
      </c>
      <c r="B210" t="s">
        <v>241</v>
      </c>
      <c r="C210" t="s">
        <v>16</v>
      </c>
      <c r="D210">
        <v>34</v>
      </c>
      <c r="E210" t="s">
        <v>21</v>
      </c>
      <c r="F210">
        <v>4</v>
      </c>
      <c r="G210">
        <v>50</v>
      </c>
      <c r="H210">
        <v>200</v>
      </c>
      <c r="I210" t="s">
        <v>38</v>
      </c>
      <c r="J210" t="s">
        <v>34</v>
      </c>
    </row>
    <row r="211" spans="1:10" x14ac:dyDescent="0.25">
      <c r="A211" s="1">
        <v>45280</v>
      </c>
      <c r="B211" t="s">
        <v>242</v>
      </c>
      <c r="C211" t="s">
        <v>16</v>
      </c>
      <c r="D211">
        <v>30</v>
      </c>
      <c r="E211" t="s">
        <v>21</v>
      </c>
      <c r="F211">
        <v>4</v>
      </c>
      <c r="G211">
        <v>50</v>
      </c>
      <c r="H211">
        <v>200</v>
      </c>
      <c r="I211" t="s">
        <v>36</v>
      </c>
      <c r="J211" t="s">
        <v>34</v>
      </c>
    </row>
    <row r="212" spans="1:10" x14ac:dyDescent="0.25">
      <c r="A212" s="1">
        <v>45029</v>
      </c>
      <c r="B212" t="s">
        <v>243</v>
      </c>
      <c r="C212" t="s">
        <v>11</v>
      </c>
      <c r="D212">
        <v>37</v>
      </c>
      <c r="E212" t="s">
        <v>21</v>
      </c>
      <c r="F212">
        <v>4</v>
      </c>
      <c r="G212">
        <v>50</v>
      </c>
      <c r="H212">
        <v>200</v>
      </c>
      <c r="I212" t="s">
        <v>29</v>
      </c>
      <c r="J212" t="s">
        <v>58</v>
      </c>
    </row>
    <row r="213" spans="1:10" x14ac:dyDescent="0.25">
      <c r="A213" s="1">
        <v>45292</v>
      </c>
      <c r="B213" t="s">
        <v>244</v>
      </c>
      <c r="C213" t="s">
        <v>11</v>
      </c>
      <c r="D213">
        <v>42</v>
      </c>
      <c r="E213" t="s">
        <v>12</v>
      </c>
      <c r="F213">
        <v>3</v>
      </c>
      <c r="G213">
        <v>500</v>
      </c>
      <c r="H213">
        <v>1500</v>
      </c>
      <c r="I213" t="s">
        <v>22</v>
      </c>
      <c r="J213" t="s">
        <v>19</v>
      </c>
    </row>
    <row r="214" spans="1:10" x14ac:dyDescent="0.25">
      <c r="A214" s="1">
        <v>45086</v>
      </c>
      <c r="B214" t="s">
        <v>245</v>
      </c>
      <c r="C214" t="s">
        <v>11</v>
      </c>
      <c r="D214">
        <v>21</v>
      </c>
      <c r="E214" t="s">
        <v>17</v>
      </c>
      <c r="F214">
        <v>3</v>
      </c>
      <c r="G214">
        <v>500</v>
      </c>
      <c r="H214">
        <v>1500</v>
      </c>
      <c r="I214" t="s">
        <v>68</v>
      </c>
      <c r="J214" t="s">
        <v>14</v>
      </c>
    </row>
    <row r="215" spans="1:10" x14ac:dyDescent="0.25">
      <c r="A215" s="1">
        <v>45131</v>
      </c>
      <c r="B215" t="s">
        <v>246</v>
      </c>
      <c r="C215" t="s">
        <v>11</v>
      </c>
      <c r="D215">
        <v>27</v>
      </c>
      <c r="E215" t="s">
        <v>12</v>
      </c>
      <c r="F215">
        <v>3</v>
      </c>
      <c r="G215">
        <v>500</v>
      </c>
      <c r="H215">
        <v>1500</v>
      </c>
      <c r="I215" t="s">
        <v>76</v>
      </c>
      <c r="J215" t="s">
        <v>19</v>
      </c>
    </row>
    <row r="216" spans="1:10" x14ac:dyDescent="0.25">
      <c r="A216" s="1">
        <v>45270</v>
      </c>
      <c r="B216" t="s">
        <v>247</v>
      </c>
      <c r="C216" t="s">
        <v>11</v>
      </c>
      <c r="D216">
        <v>20</v>
      </c>
      <c r="E216" t="s">
        <v>12</v>
      </c>
      <c r="F216">
        <v>2</v>
      </c>
      <c r="G216">
        <v>30</v>
      </c>
      <c r="H216">
        <v>60</v>
      </c>
      <c r="I216" t="s">
        <v>36</v>
      </c>
      <c r="J216" t="s">
        <v>25</v>
      </c>
    </row>
    <row r="217" spans="1:10" x14ac:dyDescent="0.25">
      <c r="A217" s="1">
        <v>45259</v>
      </c>
      <c r="B217" t="s">
        <v>248</v>
      </c>
      <c r="C217" t="s">
        <v>11</v>
      </c>
      <c r="D217">
        <v>58</v>
      </c>
      <c r="E217" t="s">
        <v>17</v>
      </c>
      <c r="F217">
        <v>3</v>
      </c>
      <c r="G217">
        <v>500</v>
      </c>
      <c r="H217">
        <v>1500</v>
      </c>
      <c r="I217" t="s">
        <v>13</v>
      </c>
      <c r="J217" t="s">
        <v>34</v>
      </c>
    </row>
    <row r="218" spans="1:10" x14ac:dyDescent="0.25">
      <c r="A218" s="1">
        <v>45118</v>
      </c>
      <c r="B218" t="s">
        <v>249</v>
      </c>
      <c r="C218" t="s">
        <v>11</v>
      </c>
      <c r="D218">
        <v>62</v>
      </c>
      <c r="E218" t="s">
        <v>21</v>
      </c>
      <c r="F218">
        <v>2</v>
      </c>
      <c r="G218">
        <v>50</v>
      </c>
      <c r="H218">
        <v>100</v>
      </c>
      <c r="I218" t="s">
        <v>76</v>
      </c>
      <c r="J218" t="s">
        <v>30</v>
      </c>
    </row>
    <row r="219" spans="1:10" x14ac:dyDescent="0.25">
      <c r="A219" s="1">
        <v>45151</v>
      </c>
      <c r="B219" t="s">
        <v>250</v>
      </c>
      <c r="C219" t="s">
        <v>16</v>
      </c>
      <c r="D219">
        <v>35</v>
      </c>
      <c r="E219" t="s">
        <v>21</v>
      </c>
      <c r="F219">
        <v>4</v>
      </c>
      <c r="G219">
        <v>50</v>
      </c>
      <c r="H219">
        <v>200</v>
      </c>
      <c r="I219" t="s">
        <v>42</v>
      </c>
      <c r="J219" t="s">
        <v>25</v>
      </c>
    </row>
    <row r="220" spans="1:10" x14ac:dyDescent="0.25">
      <c r="A220" s="1">
        <v>45191</v>
      </c>
      <c r="B220" t="s">
        <v>251</v>
      </c>
      <c r="C220" t="s">
        <v>11</v>
      </c>
      <c r="D220">
        <v>64</v>
      </c>
      <c r="E220" t="s">
        <v>12</v>
      </c>
      <c r="F220">
        <v>3</v>
      </c>
      <c r="G220">
        <v>30</v>
      </c>
      <c r="H220">
        <v>90</v>
      </c>
      <c r="I220" t="s">
        <v>49</v>
      </c>
      <c r="J220" t="s">
        <v>14</v>
      </c>
    </row>
    <row r="221" spans="1:10" x14ac:dyDescent="0.25">
      <c r="A221" s="1">
        <v>45158</v>
      </c>
      <c r="B221" t="s">
        <v>252</v>
      </c>
      <c r="C221" t="s">
        <v>16</v>
      </c>
      <c r="D221">
        <v>53</v>
      </c>
      <c r="E221" t="s">
        <v>21</v>
      </c>
      <c r="F221">
        <v>3</v>
      </c>
      <c r="G221">
        <v>30</v>
      </c>
      <c r="H221">
        <v>90</v>
      </c>
      <c r="I221" t="s">
        <v>42</v>
      </c>
      <c r="J221" t="s">
        <v>25</v>
      </c>
    </row>
    <row r="222" spans="1:10" x14ac:dyDescent="0.25">
      <c r="A222" s="1">
        <v>44988</v>
      </c>
      <c r="B222" t="s">
        <v>253</v>
      </c>
      <c r="C222" t="s">
        <v>11</v>
      </c>
      <c r="D222">
        <v>64</v>
      </c>
      <c r="E222" t="s">
        <v>12</v>
      </c>
      <c r="F222">
        <v>1</v>
      </c>
      <c r="G222">
        <v>500</v>
      </c>
      <c r="H222">
        <v>500</v>
      </c>
      <c r="I222" t="s">
        <v>32</v>
      </c>
      <c r="J222" t="s">
        <v>14</v>
      </c>
    </row>
    <row r="223" spans="1:10" x14ac:dyDescent="0.25">
      <c r="A223" s="1">
        <v>45053</v>
      </c>
      <c r="B223" t="s">
        <v>254</v>
      </c>
      <c r="C223" t="s">
        <v>11</v>
      </c>
      <c r="D223">
        <v>39</v>
      </c>
      <c r="E223" t="s">
        <v>12</v>
      </c>
      <c r="F223">
        <v>2</v>
      </c>
      <c r="G223">
        <v>300</v>
      </c>
      <c r="H223">
        <v>600</v>
      </c>
      <c r="I223" t="s">
        <v>24</v>
      </c>
      <c r="J223" t="s">
        <v>25</v>
      </c>
    </row>
    <row r="224" spans="1:10" x14ac:dyDescent="0.25">
      <c r="A224" s="1">
        <v>45042</v>
      </c>
      <c r="B224" t="s">
        <v>255</v>
      </c>
      <c r="C224" t="s">
        <v>11</v>
      </c>
      <c r="D224">
        <v>51</v>
      </c>
      <c r="E224" t="s">
        <v>17</v>
      </c>
      <c r="F224">
        <v>4</v>
      </c>
      <c r="G224">
        <v>30</v>
      </c>
      <c r="H224">
        <v>120</v>
      </c>
      <c r="I224" t="s">
        <v>29</v>
      </c>
      <c r="J224" t="s">
        <v>34</v>
      </c>
    </row>
    <row r="225" spans="1:10" x14ac:dyDescent="0.25">
      <c r="A225" s="1">
        <v>44959</v>
      </c>
      <c r="B225" t="s">
        <v>256</v>
      </c>
      <c r="C225" t="s">
        <v>16</v>
      </c>
      <c r="D225">
        <v>64</v>
      </c>
      <c r="E225" t="s">
        <v>17</v>
      </c>
      <c r="F225">
        <v>1</v>
      </c>
      <c r="G225">
        <v>25</v>
      </c>
      <c r="H225">
        <v>25</v>
      </c>
      <c r="I225" t="s">
        <v>18</v>
      </c>
      <c r="J225" t="s">
        <v>58</v>
      </c>
    </row>
    <row r="226" spans="1:10" x14ac:dyDescent="0.25">
      <c r="A226" s="1">
        <v>45100</v>
      </c>
      <c r="B226" t="s">
        <v>257</v>
      </c>
      <c r="C226" t="s">
        <v>16</v>
      </c>
      <c r="D226">
        <v>25</v>
      </c>
      <c r="E226" t="s">
        <v>17</v>
      </c>
      <c r="F226">
        <v>1</v>
      </c>
      <c r="G226">
        <v>50</v>
      </c>
      <c r="H226">
        <v>50</v>
      </c>
      <c r="I226" t="s">
        <v>68</v>
      </c>
      <c r="J226" t="s">
        <v>14</v>
      </c>
    </row>
    <row r="227" spans="1:10" x14ac:dyDescent="0.25">
      <c r="A227" s="1">
        <v>44937</v>
      </c>
      <c r="B227" t="s">
        <v>258</v>
      </c>
      <c r="C227" t="s">
        <v>16</v>
      </c>
      <c r="D227">
        <v>57</v>
      </c>
      <c r="E227" t="s">
        <v>12</v>
      </c>
      <c r="F227">
        <v>4</v>
      </c>
      <c r="G227">
        <v>25</v>
      </c>
      <c r="H227">
        <v>100</v>
      </c>
      <c r="I227" t="s">
        <v>22</v>
      </c>
      <c r="J227" t="s">
        <v>34</v>
      </c>
    </row>
    <row r="228" spans="1:10" x14ac:dyDescent="0.25">
      <c r="A228" s="1">
        <v>45228</v>
      </c>
      <c r="B228" t="s">
        <v>259</v>
      </c>
      <c r="C228" t="s">
        <v>16</v>
      </c>
      <c r="D228">
        <v>61</v>
      </c>
      <c r="E228" t="s">
        <v>17</v>
      </c>
      <c r="F228">
        <v>1</v>
      </c>
      <c r="G228">
        <v>50</v>
      </c>
      <c r="H228">
        <v>50</v>
      </c>
      <c r="I228" t="s">
        <v>38</v>
      </c>
      <c r="J228" t="s">
        <v>25</v>
      </c>
    </row>
    <row r="229" spans="1:10" x14ac:dyDescent="0.25">
      <c r="A229" s="1">
        <v>45210</v>
      </c>
      <c r="B229" t="s">
        <v>260</v>
      </c>
      <c r="C229" t="s">
        <v>11</v>
      </c>
      <c r="D229">
        <v>36</v>
      </c>
      <c r="E229" t="s">
        <v>21</v>
      </c>
      <c r="F229">
        <v>2</v>
      </c>
      <c r="G229">
        <v>50</v>
      </c>
      <c r="H229">
        <v>100</v>
      </c>
      <c r="I229" t="s">
        <v>38</v>
      </c>
      <c r="J229" t="s">
        <v>34</v>
      </c>
    </row>
    <row r="230" spans="1:10" x14ac:dyDescent="0.25">
      <c r="A230" s="1">
        <v>45044</v>
      </c>
      <c r="B230" t="s">
        <v>261</v>
      </c>
      <c r="C230" t="s">
        <v>16</v>
      </c>
      <c r="D230">
        <v>59</v>
      </c>
      <c r="E230" t="s">
        <v>21</v>
      </c>
      <c r="F230">
        <v>2</v>
      </c>
      <c r="G230">
        <v>30</v>
      </c>
      <c r="H230">
        <v>60</v>
      </c>
      <c r="I230" t="s">
        <v>29</v>
      </c>
      <c r="J230" t="s">
        <v>14</v>
      </c>
    </row>
    <row r="231" spans="1:10" x14ac:dyDescent="0.25">
      <c r="A231" s="1">
        <v>45228</v>
      </c>
      <c r="B231" t="s">
        <v>262</v>
      </c>
      <c r="C231" t="s">
        <v>11</v>
      </c>
      <c r="D231">
        <v>58</v>
      </c>
      <c r="E231" t="s">
        <v>12</v>
      </c>
      <c r="F231">
        <v>3</v>
      </c>
      <c r="G231">
        <v>30</v>
      </c>
      <c r="H231">
        <v>90</v>
      </c>
      <c r="I231" t="s">
        <v>38</v>
      </c>
      <c r="J231" t="s">
        <v>25</v>
      </c>
    </row>
    <row r="232" spans="1:10" x14ac:dyDescent="0.25">
      <c r="A232" s="1">
        <v>45039</v>
      </c>
      <c r="B232" t="s">
        <v>263</v>
      </c>
      <c r="C232" t="s">
        <v>11</v>
      </c>
      <c r="D232">
        <v>54</v>
      </c>
      <c r="E232" t="s">
        <v>12</v>
      </c>
      <c r="F232">
        <v>1</v>
      </c>
      <c r="G232">
        <v>25</v>
      </c>
      <c r="H232">
        <v>25</v>
      </c>
      <c r="I232" t="s">
        <v>29</v>
      </c>
      <c r="J232" t="s">
        <v>25</v>
      </c>
    </row>
    <row r="233" spans="1:10" x14ac:dyDescent="0.25">
      <c r="A233" s="1">
        <v>44930</v>
      </c>
      <c r="B233" t="s">
        <v>264</v>
      </c>
      <c r="C233" t="s">
        <v>16</v>
      </c>
      <c r="D233">
        <v>23</v>
      </c>
      <c r="E233" t="s">
        <v>17</v>
      </c>
      <c r="F233">
        <v>3</v>
      </c>
      <c r="G233">
        <v>50</v>
      </c>
      <c r="H233">
        <v>150</v>
      </c>
      <c r="I233" t="s">
        <v>22</v>
      </c>
      <c r="J233" t="s">
        <v>34</v>
      </c>
    </row>
    <row r="234" spans="1:10" x14ac:dyDescent="0.25">
      <c r="A234" s="1">
        <v>44963</v>
      </c>
      <c r="B234" t="s">
        <v>265</v>
      </c>
      <c r="C234" t="s">
        <v>16</v>
      </c>
      <c r="D234">
        <v>43</v>
      </c>
      <c r="E234" t="s">
        <v>12</v>
      </c>
      <c r="F234">
        <v>1</v>
      </c>
      <c r="G234">
        <v>25</v>
      </c>
      <c r="H234">
        <v>25</v>
      </c>
      <c r="I234" t="s">
        <v>18</v>
      </c>
      <c r="J234" t="s">
        <v>19</v>
      </c>
    </row>
    <row r="235" spans="1:10" x14ac:dyDescent="0.25">
      <c r="A235" s="1">
        <v>45289</v>
      </c>
      <c r="B235" t="s">
        <v>266</v>
      </c>
      <c r="C235" t="s">
        <v>16</v>
      </c>
      <c r="D235">
        <v>51</v>
      </c>
      <c r="E235" t="s">
        <v>12</v>
      </c>
      <c r="F235">
        <v>2</v>
      </c>
      <c r="G235">
        <v>300</v>
      </c>
      <c r="H235">
        <v>600</v>
      </c>
      <c r="I235" t="s">
        <v>36</v>
      </c>
      <c r="J235" t="s">
        <v>14</v>
      </c>
    </row>
    <row r="236" spans="1:10" x14ac:dyDescent="0.25">
      <c r="A236" s="1">
        <v>45250</v>
      </c>
      <c r="B236" t="s">
        <v>267</v>
      </c>
      <c r="C236" t="s">
        <v>16</v>
      </c>
      <c r="D236">
        <v>62</v>
      </c>
      <c r="E236" t="s">
        <v>21</v>
      </c>
      <c r="F236">
        <v>2</v>
      </c>
      <c r="G236">
        <v>25</v>
      </c>
      <c r="H236">
        <v>50</v>
      </c>
      <c r="I236" t="s">
        <v>13</v>
      </c>
      <c r="J236" t="s">
        <v>19</v>
      </c>
    </row>
    <row r="237" spans="1:10" x14ac:dyDescent="0.25">
      <c r="A237" s="1">
        <v>44957</v>
      </c>
      <c r="B237" t="s">
        <v>268</v>
      </c>
      <c r="C237" t="s">
        <v>16</v>
      </c>
      <c r="D237">
        <v>23</v>
      </c>
      <c r="E237" t="s">
        <v>21</v>
      </c>
      <c r="F237">
        <v>2</v>
      </c>
      <c r="G237">
        <v>500</v>
      </c>
      <c r="H237">
        <v>1000</v>
      </c>
      <c r="I237" t="s">
        <v>22</v>
      </c>
      <c r="J237" t="s">
        <v>30</v>
      </c>
    </row>
    <row r="238" spans="1:10" x14ac:dyDescent="0.25">
      <c r="A238" s="1">
        <v>45044</v>
      </c>
      <c r="B238" t="s">
        <v>269</v>
      </c>
      <c r="C238" t="s">
        <v>16</v>
      </c>
      <c r="D238">
        <v>54</v>
      </c>
      <c r="E238" t="s">
        <v>17</v>
      </c>
      <c r="F238">
        <v>1</v>
      </c>
      <c r="G238">
        <v>25</v>
      </c>
      <c r="H238">
        <v>25</v>
      </c>
      <c r="I238" t="s">
        <v>29</v>
      </c>
      <c r="J238" t="s">
        <v>14</v>
      </c>
    </row>
    <row r="239" spans="1:10" x14ac:dyDescent="0.25">
      <c r="A239" s="1">
        <v>44961</v>
      </c>
      <c r="B239" t="s">
        <v>270</v>
      </c>
      <c r="C239" t="s">
        <v>16</v>
      </c>
      <c r="D239">
        <v>50</v>
      </c>
      <c r="E239" t="s">
        <v>12</v>
      </c>
      <c r="F239">
        <v>2</v>
      </c>
      <c r="G239">
        <v>500</v>
      </c>
      <c r="H239">
        <v>1000</v>
      </c>
      <c r="I239" t="s">
        <v>18</v>
      </c>
      <c r="J239" t="s">
        <v>27</v>
      </c>
    </row>
    <row r="240" spans="1:10" x14ac:dyDescent="0.25">
      <c r="A240" s="1">
        <v>44943</v>
      </c>
      <c r="B240" t="s">
        <v>271</v>
      </c>
      <c r="C240" t="s">
        <v>16</v>
      </c>
      <c r="D240">
        <v>39</v>
      </c>
      <c r="E240" t="s">
        <v>12</v>
      </c>
      <c r="F240">
        <v>1</v>
      </c>
      <c r="G240">
        <v>500</v>
      </c>
      <c r="H240">
        <v>500</v>
      </c>
      <c r="I240" t="s">
        <v>22</v>
      </c>
      <c r="J240" t="s">
        <v>30</v>
      </c>
    </row>
    <row r="241" spans="1:10" x14ac:dyDescent="0.25">
      <c r="A241" s="1">
        <v>45096</v>
      </c>
      <c r="B241" t="s">
        <v>272</v>
      </c>
      <c r="C241" t="s">
        <v>11</v>
      </c>
      <c r="D241">
        <v>38</v>
      </c>
      <c r="E241" t="s">
        <v>21</v>
      </c>
      <c r="F241">
        <v>3</v>
      </c>
      <c r="G241">
        <v>500</v>
      </c>
      <c r="H241">
        <v>1500</v>
      </c>
      <c r="I241" t="s">
        <v>68</v>
      </c>
      <c r="J241" t="s">
        <v>19</v>
      </c>
    </row>
    <row r="242" spans="1:10" x14ac:dyDescent="0.25">
      <c r="A242" s="1">
        <v>44963</v>
      </c>
      <c r="B242" t="s">
        <v>273</v>
      </c>
      <c r="C242" t="s">
        <v>16</v>
      </c>
      <c r="D242">
        <v>23</v>
      </c>
      <c r="E242" t="s">
        <v>12</v>
      </c>
      <c r="F242">
        <v>1</v>
      </c>
      <c r="G242">
        <v>300</v>
      </c>
      <c r="H242">
        <v>300</v>
      </c>
      <c r="I242" t="s">
        <v>18</v>
      </c>
      <c r="J242" t="s">
        <v>19</v>
      </c>
    </row>
    <row r="243" spans="1:10" x14ac:dyDescent="0.25">
      <c r="A243" s="1">
        <v>45190</v>
      </c>
      <c r="B243" t="s">
        <v>274</v>
      </c>
      <c r="C243" t="s">
        <v>16</v>
      </c>
      <c r="D243">
        <v>23</v>
      </c>
      <c r="E243" t="s">
        <v>21</v>
      </c>
      <c r="F243">
        <v>3</v>
      </c>
      <c r="G243">
        <v>25</v>
      </c>
      <c r="H243">
        <v>75</v>
      </c>
      <c r="I243" t="s">
        <v>49</v>
      </c>
      <c r="J243" t="s">
        <v>58</v>
      </c>
    </row>
    <row r="244" spans="1:10" x14ac:dyDescent="0.25">
      <c r="A244" s="1">
        <v>45048</v>
      </c>
      <c r="B244" t="s">
        <v>275</v>
      </c>
      <c r="C244" t="s">
        <v>11</v>
      </c>
      <c r="D244">
        <v>21</v>
      </c>
      <c r="E244" t="s">
        <v>17</v>
      </c>
      <c r="F244">
        <v>1</v>
      </c>
      <c r="G244">
        <v>25</v>
      </c>
      <c r="H244">
        <v>25</v>
      </c>
      <c r="I244" t="s">
        <v>24</v>
      </c>
      <c r="J244" t="s">
        <v>30</v>
      </c>
    </row>
    <row r="245" spans="1:10" x14ac:dyDescent="0.25">
      <c r="A245" s="1">
        <v>45069</v>
      </c>
      <c r="B245" t="s">
        <v>276</v>
      </c>
      <c r="C245" t="s">
        <v>16</v>
      </c>
      <c r="D245">
        <v>47</v>
      </c>
      <c r="E245" t="s">
        <v>21</v>
      </c>
      <c r="F245">
        <v>3</v>
      </c>
      <c r="G245">
        <v>300</v>
      </c>
      <c r="H245">
        <v>900</v>
      </c>
      <c r="I245" t="s">
        <v>24</v>
      </c>
      <c r="J245" t="s">
        <v>30</v>
      </c>
    </row>
    <row r="246" spans="1:10" x14ac:dyDescent="0.25">
      <c r="A246" s="1">
        <v>45269</v>
      </c>
      <c r="B246" t="s">
        <v>277</v>
      </c>
      <c r="C246" t="s">
        <v>11</v>
      </c>
      <c r="D246">
        <v>28</v>
      </c>
      <c r="E246" t="s">
        <v>12</v>
      </c>
      <c r="F246">
        <v>2</v>
      </c>
      <c r="G246">
        <v>50</v>
      </c>
      <c r="H246">
        <v>100</v>
      </c>
      <c r="I246" t="s">
        <v>36</v>
      </c>
      <c r="J246" t="s">
        <v>27</v>
      </c>
    </row>
    <row r="247" spans="1:10" x14ac:dyDescent="0.25">
      <c r="A247" s="1">
        <v>45175</v>
      </c>
      <c r="B247" t="s">
        <v>278</v>
      </c>
      <c r="C247" t="s">
        <v>11</v>
      </c>
      <c r="D247">
        <v>47</v>
      </c>
      <c r="E247" t="s">
        <v>17</v>
      </c>
      <c r="F247">
        <v>3</v>
      </c>
      <c r="G247">
        <v>30</v>
      </c>
      <c r="H247">
        <v>90</v>
      </c>
      <c r="I247" t="s">
        <v>49</v>
      </c>
      <c r="J247" t="s">
        <v>34</v>
      </c>
    </row>
    <row r="248" spans="1:10" x14ac:dyDescent="0.25">
      <c r="A248" s="1">
        <v>45036</v>
      </c>
      <c r="B248" t="s">
        <v>279</v>
      </c>
      <c r="C248" t="s">
        <v>16</v>
      </c>
      <c r="D248">
        <v>48</v>
      </c>
      <c r="E248" t="s">
        <v>21</v>
      </c>
      <c r="F248">
        <v>2</v>
      </c>
      <c r="G248">
        <v>25</v>
      </c>
      <c r="H248">
        <v>50</v>
      </c>
      <c r="I248" t="s">
        <v>29</v>
      </c>
      <c r="J248" t="s">
        <v>58</v>
      </c>
    </row>
    <row r="249" spans="1:10" x14ac:dyDescent="0.25">
      <c r="A249" s="1">
        <v>45203</v>
      </c>
      <c r="B249" t="s">
        <v>280</v>
      </c>
      <c r="C249" t="s">
        <v>11</v>
      </c>
      <c r="D249">
        <v>41</v>
      </c>
      <c r="E249" t="s">
        <v>21</v>
      </c>
      <c r="F249">
        <v>2</v>
      </c>
      <c r="G249">
        <v>30</v>
      </c>
      <c r="H249">
        <v>60</v>
      </c>
      <c r="I249" t="s">
        <v>38</v>
      </c>
      <c r="J249" t="s">
        <v>34</v>
      </c>
    </row>
    <row r="250" spans="1:10" x14ac:dyDescent="0.25">
      <c r="A250" s="1">
        <v>44994</v>
      </c>
      <c r="B250" t="s">
        <v>281</v>
      </c>
      <c r="C250" t="s">
        <v>11</v>
      </c>
      <c r="D250">
        <v>26</v>
      </c>
      <c r="E250" t="s">
        <v>17</v>
      </c>
      <c r="F250">
        <v>3</v>
      </c>
      <c r="G250">
        <v>300</v>
      </c>
      <c r="H250">
        <v>900</v>
      </c>
      <c r="I250" t="s">
        <v>32</v>
      </c>
      <c r="J250" t="s">
        <v>58</v>
      </c>
    </row>
    <row r="251" spans="1:10" x14ac:dyDescent="0.25">
      <c r="A251" s="1">
        <v>45219</v>
      </c>
      <c r="B251" t="s">
        <v>282</v>
      </c>
      <c r="C251" t="s">
        <v>11</v>
      </c>
      <c r="D251">
        <v>20</v>
      </c>
      <c r="E251" t="s">
        <v>17</v>
      </c>
      <c r="F251">
        <v>1</v>
      </c>
      <c r="G251">
        <v>50</v>
      </c>
      <c r="H251">
        <v>50</v>
      </c>
      <c r="I251" t="s">
        <v>38</v>
      </c>
      <c r="J251" t="s">
        <v>14</v>
      </c>
    </row>
    <row r="252" spans="1:10" x14ac:dyDescent="0.25">
      <c r="A252" s="1">
        <v>45222</v>
      </c>
      <c r="B252" t="s">
        <v>283</v>
      </c>
      <c r="C252" t="s">
        <v>11</v>
      </c>
      <c r="D252">
        <v>48</v>
      </c>
      <c r="E252" t="s">
        <v>21</v>
      </c>
      <c r="F252">
        <v>1</v>
      </c>
      <c r="G252">
        <v>50</v>
      </c>
      <c r="H252">
        <v>50</v>
      </c>
      <c r="I252" t="s">
        <v>38</v>
      </c>
      <c r="J252" t="s">
        <v>19</v>
      </c>
    </row>
    <row r="253" spans="1:10" x14ac:dyDescent="0.25">
      <c r="A253" s="1">
        <v>45169</v>
      </c>
      <c r="B253" t="s">
        <v>284</v>
      </c>
      <c r="C253" t="s">
        <v>16</v>
      </c>
      <c r="D253">
        <v>57</v>
      </c>
      <c r="E253" t="s">
        <v>12</v>
      </c>
      <c r="F253">
        <v>4</v>
      </c>
      <c r="G253">
        <v>50</v>
      </c>
      <c r="H253">
        <v>200</v>
      </c>
      <c r="I253" t="s">
        <v>42</v>
      </c>
      <c r="J253" t="s">
        <v>58</v>
      </c>
    </row>
    <row r="254" spans="1:10" x14ac:dyDescent="0.25">
      <c r="A254" s="1">
        <v>45051</v>
      </c>
      <c r="B254" t="s">
        <v>285</v>
      </c>
      <c r="C254" t="s">
        <v>11</v>
      </c>
      <c r="D254">
        <v>54</v>
      </c>
      <c r="E254" t="s">
        <v>21</v>
      </c>
      <c r="F254">
        <v>1</v>
      </c>
      <c r="G254">
        <v>300</v>
      </c>
      <c r="H254">
        <v>300</v>
      </c>
      <c r="I254" t="s">
        <v>24</v>
      </c>
      <c r="J254" t="s">
        <v>14</v>
      </c>
    </row>
    <row r="255" spans="1:10" x14ac:dyDescent="0.25">
      <c r="A255" s="1">
        <v>45169</v>
      </c>
      <c r="B255" t="s">
        <v>286</v>
      </c>
      <c r="C255" t="s">
        <v>16</v>
      </c>
      <c r="D255">
        <v>53</v>
      </c>
      <c r="E255" t="s">
        <v>17</v>
      </c>
      <c r="F255">
        <v>4</v>
      </c>
      <c r="G255">
        <v>500</v>
      </c>
      <c r="H255">
        <v>2000</v>
      </c>
      <c r="I255" t="s">
        <v>42</v>
      </c>
      <c r="J255" t="s">
        <v>58</v>
      </c>
    </row>
    <row r="256" spans="1:10" x14ac:dyDescent="0.25">
      <c r="A256" s="1">
        <v>45135</v>
      </c>
      <c r="B256" t="s">
        <v>287</v>
      </c>
      <c r="C256" t="s">
        <v>11</v>
      </c>
      <c r="D256">
        <v>41</v>
      </c>
      <c r="E256" t="s">
        <v>21</v>
      </c>
      <c r="F256">
        <v>1</v>
      </c>
      <c r="G256">
        <v>500</v>
      </c>
      <c r="H256">
        <v>500</v>
      </c>
      <c r="I256" t="s">
        <v>76</v>
      </c>
      <c r="J256" t="s">
        <v>14</v>
      </c>
    </row>
    <row r="257" spans="1:10" x14ac:dyDescent="0.25">
      <c r="A257" s="1">
        <v>45024</v>
      </c>
      <c r="B257" t="s">
        <v>288</v>
      </c>
      <c r="C257" t="s">
        <v>11</v>
      </c>
      <c r="D257">
        <v>48</v>
      </c>
      <c r="E257" t="s">
        <v>17</v>
      </c>
      <c r="F257">
        <v>1</v>
      </c>
      <c r="G257">
        <v>30</v>
      </c>
      <c r="H257">
        <v>30</v>
      </c>
      <c r="I257" t="s">
        <v>29</v>
      </c>
      <c r="J257" t="s">
        <v>27</v>
      </c>
    </row>
    <row r="258" spans="1:10" x14ac:dyDescent="0.25">
      <c r="A258" s="1">
        <v>44975</v>
      </c>
      <c r="B258" t="s">
        <v>289</v>
      </c>
      <c r="C258" t="s">
        <v>11</v>
      </c>
      <c r="D258">
        <v>23</v>
      </c>
      <c r="E258" t="s">
        <v>17</v>
      </c>
      <c r="F258">
        <v>2</v>
      </c>
      <c r="G258">
        <v>500</v>
      </c>
      <c r="H258">
        <v>1000</v>
      </c>
      <c r="I258" t="s">
        <v>18</v>
      </c>
      <c r="J258" t="s">
        <v>27</v>
      </c>
    </row>
    <row r="259" spans="1:10" x14ac:dyDescent="0.25">
      <c r="A259" s="1">
        <v>44976</v>
      </c>
      <c r="B259" t="s">
        <v>290</v>
      </c>
      <c r="C259" t="s">
        <v>11</v>
      </c>
      <c r="D259">
        <v>19</v>
      </c>
      <c r="E259" t="s">
        <v>12</v>
      </c>
      <c r="F259">
        <v>4</v>
      </c>
      <c r="G259">
        <v>500</v>
      </c>
      <c r="H259">
        <v>2000</v>
      </c>
      <c r="I259" t="s">
        <v>18</v>
      </c>
      <c r="J259" t="s">
        <v>25</v>
      </c>
    </row>
    <row r="260" spans="1:10" x14ac:dyDescent="0.25">
      <c r="A260" s="1">
        <v>45264</v>
      </c>
      <c r="B260" t="s">
        <v>291</v>
      </c>
      <c r="C260" t="s">
        <v>16</v>
      </c>
      <c r="D260">
        <v>37</v>
      </c>
      <c r="E260" t="s">
        <v>17</v>
      </c>
      <c r="F260">
        <v>1</v>
      </c>
      <c r="G260">
        <v>50</v>
      </c>
      <c r="H260">
        <v>50</v>
      </c>
      <c r="I260" t="s">
        <v>36</v>
      </c>
      <c r="J260" t="s">
        <v>19</v>
      </c>
    </row>
    <row r="261" spans="1:10" x14ac:dyDescent="0.25">
      <c r="A261" s="1">
        <v>45147</v>
      </c>
      <c r="B261" t="s">
        <v>292</v>
      </c>
      <c r="C261" t="s">
        <v>16</v>
      </c>
      <c r="D261">
        <v>45</v>
      </c>
      <c r="E261" t="s">
        <v>17</v>
      </c>
      <c r="F261">
        <v>4</v>
      </c>
      <c r="G261">
        <v>50</v>
      </c>
      <c r="H261">
        <v>200</v>
      </c>
      <c r="I261" t="s">
        <v>42</v>
      </c>
      <c r="J261" t="s">
        <v>34</v>
      </c>
    </row>
    <row r="262" spans="1:10" x14ac:dyDescent="0.25">
      <c r="A262" s="1">
        <v>45108</v>
      </c>
      <c r="B262" t="s">
        <v>293</v>
      </c>
      <c r="C262" t="s">
        <v>11</v>
      </c>
      <c r="D262">
        <v>28</v>
      </c>
      <c r="E262" t="s">
        <v>12</v>
      </c>
      <c r="F262">
        <v>2</v>
      </c>
      <c r="G262">
        <v>30</v>
      </c>
      <c r="H262">
        <v>60</v>
      </c>
      <c r="I262" t="s">
        <v>76</v>
      </c>
      <c r="J262" t="s">
        <v>27</v>
      </c>
    </row>
    <row r="263" spans="1:10" x14ac:dyDescent="0.25">
      <c r="A263" s="1">
        <v>45143</v>
      </c>
      <c r="B263" t="s">
        <v>294</v>
      </c>
      <c r="C263" t="s">
        <v>11</v>
      </c>
      <c r="D263">
        <v>21</v>
      </c>
      <c r="E263" t="s">
        <v>17</v>
      </c>
      <c r="F263">
        <v>2</v>
      </c>
      <c r="G263">
        <v>25</v>
      </c>
      <c r="H263">
        <v>50</v>
      </c>
      <c r="I263" t="s">
        <v>42</v>
      </c>
      <c r="J263" t="s">
        <v>27</v>
      </c>
    </row>
    <row r="264" spans="1:10" x14ac:dyDescent="0.25">
      <c r="A264" s="1">
        <v>45137</v>
      </c>
      <c r="B264" t="s">
        <v>295</v>
      </c>
      <c r="C264" t="s">
        <v>16</v>
      </c>
      <c r="D264">
        <v>32</v>
      </c>
      <c r="E264" t="s">
        <v>12</v>
      </c>
      <c r="F264">
        <v>4</v>
      </c>
      <c r="G264">
        <v>30</v>
      </c>
      <c r="H264">
        <v>120</v>
      </c>
      <c r="I264" t="s">
        <v>76</v>
      </c>
      <c r="J264" t="s">
        <v>25</v>
      </c>
    </row>
    <row r="265" spans="1:10" x14ac:dyDescent="0.25">
      <c r="A265" s="1">
        <v>45166</v>
      </c>
      <c r="B265" t="s">
        <v>296</v>
      </c>
      <c r="C265" t="s">
        <v>11</v>
      </c>
      <c r="D265">
        <v>23</v>
      </c>
      <c r="E265" t="s">
        <v>12</v>
      </c>
      <c r="F265">
        <v>2</v>
      </c>
      <c r="G265">
        <v>30</v>
      </c>
      <c r="H265">
        <v>60</v>
      </c>
      <c r="I265" t="s">
        <v>42</v>
      </c>
      <c r="J265" t="s">
        <v>19</v>
      </c>
    </row>
    <row r="266" spans="1:10" x14ac:dyDescent="0.25">
      <c r="A266" s="1">
        <v>44954</v>
      </c>
      <c r="B266" t="s">
        <v>297</v>
      </c>
      <c r="C266" t="s">
        <v>11</v>
      </c>
      <c r="D266">
        <v>47</v>
      </c>
      <c r="E266" t="s">
        <v>17</v>
      </c>
      <c r="F266">
        <v>3</v>
      </c>
      <c r="G266">
        <v>300</v>
      </c>
      <c r="H266">
        <v>900</v>
      </c>
      <c r="I266" t="s">
        <v>22</v>
      </c>
      <c r="J266" t="s">
        <v>27</v>
      </c>
    </row>
    <row r="267" spans="1:10" x14ac:dyDescent="0.25">
      <c r="A267" s="1">
        <v>45271</v>
      </c>
      <c r="B267" t="s">
        <v>298</v>
      </c>
      <c r="C267" t="s">
        <v>11</v>
      </c>
      <c r="D267">
        <v>55</v>
      </c>
      <c r="E267" t="s">
        <v>17</v>
      </c>
      <c r="F267">
        <v>3</v>
      </c>
      <c r="G267">
        <v>300</v>
      </c>
      <c r="H267">
        <v>900</v>
      </c>
      <c r="I267" t="s">
        <v>36</v>
      </c>
      <c r="J267" t="s">
        <v>19</v>
      </c>
    </row>
    <row r="268" spans="1:10" x14ac:dyDescent="0.25">
      <c r="A268" s="1">
        <v>45261</v>
      </c>
      <c r="B268" t="s">
        <v>299</v>
      </c>
      <c r="C268" t="s">
        <v>16</v>
      </c>
      <c r="D268">
        <v>19</v>
      </c>
      <c r="E268" t="s">
        <v>21</v>
      </c>
      <c r="F268">
        <v>2</v>
      </c>
      <c r="G268">
        <v>30</v>
      </c>
      <c r="H268">
        <v>60</v>
      </c>
      <c r="I268" t="s">
        <v>36</v>
      </c>
      <c r="J268" t="s">
        <v>14</v>
      </c>
    </row>
    <row r="269" spans="1:10" x14ac:dyDescent="0.25">
      <c r="A269" s="1">
        <v>45257</v>
      </c>
      <c r="B269" t="s">
        <v>300</v>
      </c>
      <c r="C269" t="s">
        <v>16</v>
      </c>
      <c r="D269">
        <v>32</v>
      </c>
      <c r="E269" t="s">
        <v>12</v>
      </c>
      <c r="F269">
        <v>3</v>
      </c>
      <c r="G269">
        <v>30</v>
      </c>
      <c r="H269">
        <v>90</v>
      </c>
      <c r="I269" t="s">
        <v>13</v>
      </c>
      <c r="J269" t="s">
        <v>19</v>
      </c>
    </row>
    <row r="270" spans="1:10" x14ac:dyDescent="0.25">
      <c r="A270" s="1">
        <v>44977</v>
      </c>
      <c r="B270" t="s">
        <v>301</v>
      </c>
      <c r="C270" t="s">
        <v>16</v>
      </c>
      <c r="D270">
        <v>28</v>
      </c>
      <c r="E270" t="s">
        <v>21</v>
      </c>
      <c r="F270">
        <v>1</v>
      </c>
      <c r="G270">
        <v>30</v>
      </c>
      <c r="H270">
        <v>30</v>
      </c>
      <c r="I270" t="s">
        <v>18</v>
      </c>
      <c r="J270" t="s">
        <v>19</v>
      </c>
    </row>
    <row r="271" spans="1:10" x14ac:dyDescent="0.25">
      <c r="A271" s="1">
        <v>44958</v>
      </c>
      <c r="B271" t="s">
        <v>302</v>
      </c>
      <c r="C271" t="s">
        <v>11</v>
      </c>
      <c r="D271">
        <v>25</v>
      </c>
      <c r="E271" t="s">
        <v>17</v>
      </c>
      <c r="F271">
        <v>4</v>
      </c>
      <c r="G271">
        <v>500</v>
      </c>
      <c r="H271">
        <v>2000</v>
      </c>
      <c r="I271" t="s">
        <v>18</v>
      </c>
      <c r="J271" t="s">
        <v>34</v>
      </c>
    </row>
    <row r="272" spans="1:10" x14ac:dyDescent="0.25">
      <c r="A272" s="1">
        <v>45133</v>
      </c>
      <c r="B272" t="s">
        <v>303</v>
      </c>
      <c r="C272" t="s">
        <v>11</v>
      </c>
      <c r="D272">
        <v>43</v>
      </c>
      <c r="E272" t="s">
        <v>21</v>
      </c>
      <c r="F272">
        <v>1</v>
      </c>
      <c r="G272">
        <v>300</v>
      </c>
      <c r="H272">
        <v>300</v>
      </c>
      <c r="I272" t="s">
        <v>76</v>
      </c>
      <c r="J272" t="s">
        <v>34</v>
      </c>
    </row>
    <row r="273" spans="1:10" x14ac:dyDescent="0.25">
      <c r="A273" s="1">
        <v>45100</v>
      </c>
      <c r="B273" t="s">
        <v>304</v>
      </c>
      <c r="C273" t="s">
        <v>16</v>
      </c>
      <c r="D273">
        <v>62</v>
      </c>
      <c r="E273" t="s">
        <v>12</v>
      </c>
      <c r="F273">
        <v>4</v>
      </c>
      <c r="G273">
        <v>30</v>
      </c>
      <c r="H273">
        <v>120</v>
      </c>
      <c r="I273" t="s">
        <v>68</v>
      </c>
      <c r="J273" t="s">
        <v>14</v>
      </c>
    </row>
    <row r="274" spans="1:10" x14ac:dyDescent="0.25">
      <c r="A274" s="1">
        <v>44982</v>
      </c>
      <c r="B274" t="s">
        <v>305</v>
      </c>
      <c r="C274" t="s">
        <v>16</v>
      </c>
      <c r="D274">
        <v>61</v>
      </c>
      <c r="E274" t="s">
        <v>21</v>
      </c>
      <c r="F274">
        <v>2</v>
      </c>
      <c r="G274">
        <v>50</v>
      </c>
      <c r="H274">
        <v>100</v>
      </c>
      <c r="I274" t="s">
        <v>18</v>
      </c>
      <c r="J274" t="s">
        <v>27</v>
      </c>
    </row>
    <row r="275" spans="1:10" x14ac:dyDescent="0.25">
      <c r="A275" s="1">
        <v>45054</v>
      </c>
      <c r="B275" t="s">
        <v>306</v>
      </c>
      <c r="C275" t="s">
        <v>16</v>
      </c>
      <c r="D275">
        <v>22</v>
      </c>
      <c r="E275" t="s">
        <v>12</v>
      </c>
      <c r="F275">
        <v>1</v>
      </c>
      <c r="G275">
        <v>50</v>
      </c>
      <c r="H275">
        <v>50</v>
      </c>
      <c r="I275" t="s">
        <v>24</v>
      </c>
      <c r="J275" t="s">
        <v>19</v>
      </c>
    </row>
    <row r="276" spans="1:10" x14ac:dyDescent="0.25">
      <c r="A276" s="1">
        <v>45025</v>
      </c>
      <c r="B276" t="s">
        <v>307</v>
      </c>
      <c r="C276" t="s">
        <v>16</v>
      </c>
      <c r="D276">
        <v>23</v>
      </c>
      <c r="E276" t="s">
        <v>17</v>
      </c>
      <c r="F276">
        <v>2</v>
      </c>
      <c r="G276">
        <v>500</v>
      </c>
      <c r="H276">
        <v>1000</v>
      </c>
      <c r="I276" t="s">
        <v>29</v>
      </c>
      <c r="J276" t="s">
        <v>25</v>
      </c>
    </row>
    <row r="277" spans="1:10" x14ac:dyDescent="0.25">
      <c r="A277" s="1">
        <v>45024</v>
      </c>
      <c r="B277" t="s">
        <v>308</v>
      </c>
      <c r="C277" t="s">
        <v>11</v>
      </c>
      <c r="D277">
        <v>43</v>
      </c>
      <c r="E277" t="s">
        <v>17</v>
      </c>
      <c r="F277">
        <v>2</v>
      </c>
      <c r="G277">
        <v>500</v>
      </c>
      <c r="H277">
        <v>1000</v>
      </c>
      <c r="I277" t="s">
        <v>29</v>
      </c>
      <c r="J277" t="s">
        <v>27</v>
      </c>
    </row>
    <row r="278" spans="1:10" x14ac:dyDescent="0.25">
      <c r="A278" s="1">
        <v>45201</v>
      </c>
      <c r="B278" t="s">
        <v>309</v>
      </c>
      <c r="C278" t="s">
        <v>16</v>
      </c>
      <c r="D278">
        <v>21</v>
      </c>
      <c r="E278" t="s">
        <v>12</v>
      </c>
      <c r="F278">
        <v>4</v>
      </c>
      <c r="G278">
        <v>25</v>
      </c>
      <c r="H278">
        <v>100</v>
      </c>
      <c r="I278" t="s">
        <v>38</v>
      </c>
      <c r="J278" t="s">
        <v>19</v>
      </c>
    </row>
    <row r="279" spans="1:10" x14ac:dyDescent="0.25">
      <c r="A279" s="1">
        <v>45156</v>
      </c>
      <c r="B279" t="s">
        <v>310</v>
      </c>
      <c r="C279" t="s">
        <v>11</v>
      </c>
      <c r="D279">
        <v>36</v>
      </c>
      <c r="E279" t="s">
        <v>17</v>
      </c>
      <c r="F279">
        <v>4</v>
      </c>
      <c r="G279">
        <v>25</v>
      </c>
      <c r="H279">
        <v>100</v>
      </c>
      <c r="I279" t="s">
        <v>42</v>
      </c>
      <c r="J279" t="s">
        <v>14</v>
      </c>
    </row>
    <row r="280" spans="1:10" x14ac:dyDescent="0.25">
      <c r="A280" s="1">
        <v>44998</v>
      </c>
      <c r="B280" t="s">
        <v>311</v>
      </c>
      <c r="C280" t="s">
        <v>16</v>
      </c>
      <c r="D280">
        <v>37</v>
      </c>
      <c r="E280" t="s">
        <v>17</v>
      </c>
      <c r="F280">
        <v>4</v>
      </c>
      <c r="G280">
        <v>25</v>
      </c>
      <c r="H280">
        <v>100</v>
      </c>
      <c r="I280" t="s">
        <v>32</v>
      </c>
      <c r="J280" t="s">
        <v>19</v>
      </c>
    </row>
    <row r="281" spans="1:10" x14ac:dyDescent="0.25">
      <c r="A281" s="1">
        <v>45143</v>
      </c>
      <c r="B281" t="s">
        <v>312</v>
      </c>
      <c r="C281" t="s">
        <v>11</v>
      </c>
      <c r="D281">
        <v>50</v>
      </c>
      <c r="E281" t="s">
        <v>17</v>
      </c>
      <c r="F281">
        <v>1</v>
      </c>
      <c r="G281">
        <v>500</v>
      </c>
      <c r="H281">
        <v>500</v>
      </c>
      <c r="I281" t="s">
        <v>42</v>
      </c>
      <c r="J281" t="s">
        <v>27</v>
      </c>
    </row>
    <row r="282" spans="1:10" x14ac:dyDescent="0.25">
      <c r="A282" s="1">
        <v>45020</v>
      </c>
      <c r="B282" t="s">
        <v>313</v>
      </c>
      <c r="C282" t="s">
        <v>16</v>
      </c>
      <c r="D282">
        <v>37</v>
      </c>
      <c r="E282" t="s">
        <v>17</v>
      </c>
      <c r="F282">
        <v>3</v>
      </c>
      <c r="G282">
        <v>500</v>
      </c>
      <c r="H282">
        <v>1500</v>
      </c>
      <c r="I282" t="s">
        <v>29</v>
      </c>
      <c r="J282" t="s">
        <v>30</v>
      </c>
    </row>
    <row r="283" spans="1:10" x14ac:dyDescent="0.25">
      <c r="A283" s="1">
        <v>45069</v>
      </c>
      <c r="B283" t="s">
        <v>314</v>
      </c>
      <c r="C283" t="s">
        <v>16</v>
      </c>
      <c r="D283">
        <v>29</v>
      </c>
      <c r="E283" t="s">
        <v>12</v>
      </c>
      <c r="F283">
        <v>4</v>
      </c>
      <c r="G283">
        <v>500</v>
      </c>
      <c r="H283">
        <v>2000</v>
      </c>
      <c r="I283" t="s">
        <v>24</v>
      </c>
      <c r="J283" t="s">
        <v>30</v>
      </c>
    </row>
    <row r="284" spans="1:10" x14ac:dyDescent="0.25">
      <c r="A284" s="1">
        <v>45163</v>
      </c>
      <c r="B284" t="s">
        <v>315</v>
      </c>
      <c r="C284" t="s">
        <v>16</v>
      </c>
      <c r="D284">
        <v>64</v>
      </c>
      <c r="E284" t="s">
        <v>21</v>
      </c>
      <c r="F284">
        <v>4</v>
      </c>
      <c r="G284">
        <v>50</v>
      </c>
      <c r="H284">
        <v>200</v>
      </c>
      <c r="I284" t="s">
        <v>42</v>
      </c>
      <c r="J284" t="s">
        <v>14</v>
      </c>
    </row>
    <row r="285" spans="1:10" x14ac:dyDescent="0.25">
      <c r="A285" s="1">
        <v>45054</v>
      </c>
      <c r="B285" t="s">
        <v>316</v>
      </c>
      <c r="C285" t="s">
        <v>16</v>
      </c>
      <c r="D285">
        <v>18</v>
      </c>
      <c r="E285" t="s">
        <v>21</v>
      </c>
      <c r="F285">
        <v>1</v>
      </c>
      <c r="G285">
        <v>500</v>
      </c>
      <c r="H285">
        <v>500</v>
      </c>
      <c r="I285" t="s">
        <v>24</v>
      </c>
      <c r="J285" t="s">
        <v>19</v>
      </c>
    </row>
    <row r="286" spans="1:10" x14ac:dyDescent="0.25">
      <c r="A286" s="1">
        <v>44965</v>
      </c>
      <c r="B286" t="s">
        <v>317</v>
      </c>
      <c r="C286" t="s">
        <v>11</v>
      </c>
      <c r="D286">
        <v>43</v>
      </c>
      <c r="E286" t="s">
        <v>17</v>
      </c>
      <c r="F286">
        <v>4</v>
      </c>
      <c r="G286">
        <v>50</v>
      </c>
      <c r="H286">
        <v>200</v>
      </c>
      <c r="I286" t="s">
        <v>18</v>
      </c>
      <c r="J286" t="s">
        <v>34</v>
      </c>
    </row>
    <row r="287" spans="1:10" x14ac:dyDescent="0.25">
      <c r="A287" s="1">
        <v>45153</v>
      </c>
      <c r="B287" t="s">
        <v>318</v>
      </c>
      <c r="C287" t="s">
        <v>16</v>
      </c>
      <c r="D287">
        <v>31</v>
      </c>
      <c r="E287" t="s">
        <v>21</v>
      </c>
      <c r="F287">
        <v>1</v>
      </c>
      <c r="G287">
        <v>25</v>
      </c>
      <c r="H287">
        <v>25</v>
      </c>
      <c r="I287" t="s">
        <v>42</v>
      </c>
      <c r="J287" t="s">
        <v>30</v>
      </c>
    </row>
    <row r="288" spans="1:10" x14ac:dyDescent="0.25">
      <c r="A288" s="1">
        <v>45208</v>
      </c>
      <c r="B288" t="s">
        <v>319</v>
      </c>
      <c r="C288" t="s">
        <v>11</v>
      </c>
      <c r="D288">
        <v>55</v>
      </c>
      <c r="E288" t="s">
        <v>21</v>
      </c>
      <c r="F288">
        <v>2</v>
      </c>
      <c r="G288">
        <v>25</v>
      </c>
      <c r="H288">
        <v>50</v>
      </c>
      <c r="I288" t="s">
        <v>38</v>
      </c>
      <c r="J288" t="s">
        <v>19</v>
      </c>
    </row>
    <row r="289" spans="1:10" x14ac:dyDescent="0.25">
      <c r="A289" s="1">
        <v>44977</v>
      </c>
      <c r="B289" t="s">
        <v>320</v>
      </c>
      <c r="C289" t="s">
        <v>11</v>
      </c>
      <c r="D289">
        <v>54</v>
      </c>
      <c r="E289" t="s">
        <v>17</v>
      </c>
      <c r="F289">
        <v>4</v>
      </c>
      <c r="G289">
        <v>25</v>
      </c>
      <c r="H289">
        <v>100</v>
      </c>
      <c r="I289" t="s">
        <v>18</v>
      </c>
      <c r="J289" t="s">
        <v>19</v>
      </c>
    </row>
    <row r="290" spans="1:10" x14ac:dyDescent="0.25">
      <c r="A290" s="1">
        <v>44952</v>
      </c>
      <c r="B290" t="s">
        <v>321</v>
      </c>
      <c r="C290" t="s">
        <v>11</v>
      </c>
      <c r="D290">
        <v>28</v>
      </c>
      <c r="E290" t="s">
        <v>17</v>
      </c>
      <c r="F290">
        <v>4</v>
      </c>
      <c r="G290">
        <v>30</v>
      </c>
      <c r="H290">
        <v>120</v>
      </c>
      <c r="I290" t="s">
        <v>22</v>
      </c>
      <c r="J290" t="s">
        <v>58</v>
      </c>
    </row>
    <row r="291" spans="1:10" x14ac:dyDescent="0.25">
      <c r="A291" s="1">
        <v>45260</v>
      </c>
      <c r="B291" t="s">
        <v>322</v>
      </c>
      <c r="C291" t="s">
        <v>11</v>
      </c>
      <c r="D291">
        <v>53</v>
      </c>
      <c r="E291" t="s">
        <v>21</v>
      </c>
      <c r="F291">
        <v>2</v>
      </c>
      <c r="G291">
        <v>30</v>
      </c>
      <c r="H291">
        <v>60</v>
      </c>
      <c r="I291" t="s">
        <v>13</v>
      </c>
      <c r="J291" t="s">
        <v>58</v>
      </c>
    </row>
    <row r="292" spans="1:10" x14ac:dyDescent="0.25">
      <c r="A292" s="1">
        <v>45203</v>
      </c>
      <c r="B292" t="s">
        <v>323</v>
      </c>
      <c r="C292" t="s">
        <v>16</v>
      </c>
      <c r="D292">
        <v>30</v>
      </c>
      <c r="E292" t="s">
        <v>12</v>
      </c>
      <c r="F292">
        <v>2</v>
      </c>
      <c r="G292">
        <v>300</v>
      </c>
      <c r="H292">
        <v>600</v>
      </c>
      <c r="I292" t="s">
        <v>38</v>
      </c>
      <c r="J292" t="s">
        <v>34</v>
      </c>
    </row>
    <row r="293" spans="1:10" x14ac:dyDescent="0.25">
      <c r="A293" s="1">
        <v>44934</v>
      </c>
      <c r="B293" t="s">
        <v>324</v>
      </c>
      <c r="C293" t="s">
        <v>11</v>
      </c>
      <c r="D293">
        <v>60</v>
      </c>
      <c r="E293" t="s">
        <v>17</v>
      </c>
      <c r="F293">
        <v>2</v>
      </c>
      <c r="G293">
        <v>300</v>
      </c>
      <c r="H293">
        <v>600</v>
      </c>
      <c r="I293" t="s">
        <v>22</v>
      </c>
      <c r="J293" t="s">
        <v>25</v>
      </c>
    </row>
    <row r="294" spans="1:10" x14ac:dyDescent="0.25">
      <c r="A294" s="1">
        <v>44974</v>
      </c>
      <c r="B294" t="s">
        <v>325</v>
      </c>
      <c r="C294" t="s">
        <v>11</v>
      </c>
      <c r="D294">
        <v>20</v>
      </c>
      <c r="E294" t="s">
        <v>12</v>
      </c>
      <c r="F294">
        <v>4</v>
      </c>
      <c r="G294">
        <v>300</v>
      </c>
      <c r="H294">
        <v>1200</v>
      </c>
      <c r="I294" t="s">
        <v>18</v>
      </c>
      <c r="J294" t="s">
        <v>14</v>
      </c>
    </row>
    <row r="295" spans="1:10" x14ac:dyDescent="0.25">
      <c r="A295" s="1">
        <v>45048</v>
      </c>
      <c r="B295" t="s">
        <v>326</v>
      </c>
      <c r="C295" t="s">
        <v>11</v>
      </c>
      <c r="D295">
        <v>50</v>
      </c>
      <c r="E295" t="s">
        <v>21</v>
      </c>
      <c r="F295">
        <v>3</v>
      </c>
      <c r="G295">
        <v>30</v>
      </c>
      <c r="H295">
        <v>90</v>
      </c>
      <c r="I295" t="s">
        <v>24</v>
      </c>
      <c r="J295" t="s">
        <v>30</v>
      </c>
    </row>
    <row r="296" spans="1:10" x14ac:dyDescent="0.25">
      <c r="A296" s="1">
        <v>45012</v>
      </c>
      <c r="B296" t="s">
        <v>327</v>
      </c>
      <c r="C296" t="s">
        <v>16</v>
      </c>
      <c r="D296">
        <v>23</v>
      </c>
      <c r="E296" t="s">
        <v>17</v>
      </c>
      <c r="F296">
        <v>3</v>
      </c>
      <c r="G296">
        <v>30</v>
      </c>
      <c r="H296">
        <v>90</v>
      </c>
      <c r="I296" t="s">
        <v>32</v>
      </c>
      <c r="J296" t="s">
        <v>19</v>
      </c>
    </row>
    <row r="297" spans="1:10" x14ac:dyDescent="0.25">
      <c r="A297" s="1">
        <v>45135</v>
      </c>
      <c r="B297" t="s">
        <v>328</v>
      </c>
      <c r="C297" t="s">
        <v>16</v>
      </c>
      <c r="D297">
        <v>27</v>
      </c>
      <c r="E297" t="s">
        <v>12</v>
      </c>
      <c r="F297">
        <v>3</v>
      </c>
      <c r="G297">
        <v>300</v>
      </c>
      <c r="H297">
        <v>900</v>
      </c>
      <c r="I297" t="s">
        <v>76</v>
      </c>
      <c r="J297" t="s">
        <v>14</v>
      </c>
    </row>
    <row r="298" spans="1:10" x14ac:dyDescent="0.25">
      <c r="A298" s="1">
        <v>45175</v>
      </c>
      <c r="B298" t="s">
        <v>329</v>
      </c>
      <c r="C298" t="s">
        <v>16</v>
      </c>
      <c r="D298">
        <v>22</v>
      </c>
      <c r="E298" t="s">
        <v>17</v>
      </c>
      <c r="F298">
        <v>4</v>
      </c>
      <c r="G298">
        <v>300</v>
      </c>
      <c r="H298">
        <v>1200</v>
      </c>
      <c r="I298" t="s">
        <v>49</v>
      </c>
      <c r="J298" t="s">
        <v>34</v>
      </c>
    </row>
    <row r="299" spans="1:10" x14ac:dyDescent="0.25">
      <c r="A299" s="1">
        <v>45173</v>
      </c>
      <c r="B299" t="s">
        <v>330</v>
      </c>
      <c r="C299" t="s">
        <v>16</v>
      </c>
      <c r="D299">
        <v>40</v>
      </c>
      <c r="E299" t="s">
        <v>21</v>
      </c>
      <c r="F299">
        <v>2</v>
      </c>
      <c r="G299">
        <v>500</v>
      </c>
      <c r="H299">
        <v>1000</v>
      </c>
      <c r="I299" t="s">
        <v>49</v>
      </c>
      <c r="J299" t="s">
        <v>19</v>
      </c>
    </row>
    <row r="300" spans="1:10" x14ac:dyDescent="0.25">
      <c r="A300" s="1">
        <v>45036</v>
      </c>
      <c r="B300" t="s">
        <v>331</v>
      </c>
      <c r="C300" t="s">
        <v>11</v>
      </c>
      <c r="D300">
        <v>27</v>
      </c>
      <c r="E300" t="s">
        <v>12</v>
      </c>
      <c r="F300">
        <v>4</v>
      </c>
      <c r="G300">
        <v>300</v>
      </c>
      <c r="H300">
        <v>1200</v>
      </c>
      <c r="I300" t="s">
        <v>29</v>
      </c>
      <c r="J300" t="s">
        <v>58</v>
      </c>
    </row>
    <row r="301" spans="1:10" x14ac:dyDescent="0.25">
      <c r="A301" s="1">
        <v>45132</v>
      </c>
      <c r="B301" t="s">
        <v>332</v>
      </c>
      <c r="C301" t="s">
        <v>11</v>
      </c>
      <c r="D301">
        <v>61</v>
      </c>
      <c r="E301" t="s">
        <v>21</v>
      </c>
      <c r="F301">
        <v>2</v>
      </c>
      <c r="G301">
        <v>500</v>
      </c>
      <c r="H301">
        <v>1000</v>
      </c>
      <c r="I301" t="s">
        <v>76</v>
      </c>
      <c r="J301" t="s">
        <v>30</v>
      </c>
    </row>
    <row r="302" spans="1:10" x14ac:dyDescent="0.25">
      <c r="A302" s="1">
        <v>44957</v>
      </c>
      <c r="B302" t="s">
        <v>333</v>
      </c>
      <c r="C302" t="s">
        <v>16</v>
      </c>
      <c r="D302">
        <v>19</v>
      </c>
      <c r="E302" t="s">
        <v>21</v>
      </c>
      <c r="F302">
        <v>4</v>
      </c>
      <c r="G302">
        <v>50</v>
      </c>
      <c r="H302">
        <v>200</v>
      </c>
      <c r="I302" t="s">
        <v>22</v>
      </c>
      <c r="J302" t="s">
        <v>30</v>
      </c>
    </row>
    <row r="303" spans="1:10" x14ac:dyDescent="0.25">
      <c r="A303" s="1">
        <v>45011</v>
      </c>
      <c r="B303" t="s">
        <v>334</v>
      </c>
      <c r="C303" t="s">
        <v>11</v>
      </c>
      <c r="D303">
        <v>30</v>
      </c>
      <c r="E303" t="s">
        <v>17</v>
      </c>
      <c r="F303">
        <v>4</v>
      </c>
      <c r="G303">
        <v>30</v>
      </c>
      <c r="H303">
        <v>120</v>
      </c>
      <c r="I303" t="s">
        <v>32</v>
      </c>
      <c r="J303" t="s">
        <v>25</v>
      </c>
    </row>
    <row r="304" spans="1:10" x14ac:dyDescent="0.25">
      <c r="A304" s="1">
        <v>45121</v>
      </c>
      <c r="B304" t="s">
        <v>335</v>
      </c>
      <c r="C304" t="s">
        <v>11</v>
      </c>
      <c r="D304">
        <v>57</v>
      </c>
      <c r="E304" t="s">
        <v>12</v>
      </c>
      <c r="F304">
        <v>2</v>
      </c>
      <c r="G304">
        <v>300</v>
      </c>
      <c r="H304">
        <v>600</v>
      </c>
      <c r="I304" t="s">
        <v>76</v>
      </c>
      <c r="J304" t="s">
        <v>14</v>
      </c>
    </row>
    <row r="305" spans="1:10" x14ac:dyDescent="0.25">
      <c r="A305" s="1">
        <v>44928</v>
      </c>
      <c r="B305" t="s">
        <v>336</v>
      </c>
      <c r="C305" t="s">
        <v>11</v>
      </c>
      <c r="D305">
        <v>19</v>
      </c>
      <c r="E305" t="s">
        <v>21</v>
      </c>
      <c r="F305">
        <v>3</v>
      </c>
      <c r="G305">
        <v>30</v>
      </c>
      <c r="H305">
        <v>90</v>
      </c>
      <c r="I305" t="s">
        <v>22</v>
      </c>
      <c r="J305" t="s">
        <v>19</v>
      </c>
    </row>
    <row r="306" spans="1:10" x14ac:dyDescent="0.25">
      <c r="A306" s="1">
        <v>45126</v>
      </c>
      <c r="B306" t="s">
        <v>337</v>
      </c>
      <c r="C306" t="s">
        <v>16</v>
      </c>
      <c r="D306">
        <v>37</v>
      </c>
      <c r="E306" t="s">
        <v>21</v>
      </c>
      <c r="F306">
        <v>2</v>
      </c>
      <c r="G306">
        <v>30</v>
      </c>
      <c r="H306">
        <v>60</v>
      </c>
      <c r="I306" t="s">
        <v>76</v>
      </c>
      <c r="J306" t="s">
        <v>34</v>
      </c>
    </row>
    <row r="307" spans="1:10" x14ac:dyDescent="0.25">
      <c r="A307" s="1">
        <v>45062</v>
      </c>
      <c r="B307" t="s">
        <v>338</v>
      </c>
      <c r="C307" t="s">
        <v>16</v>
      </c>
      <c r="D307">
        <v>18</v>
      </c>
      <c r="E307" t="s">
        <v>12</v>
      </c>
      <c r="F307">
        <v>1</v>
      </c>
      <c r="G307">
        <v>30</v>
      </c>
      <c r="H307">
        <v>30</v>
      </c>
      <c r="I307" t="s">
        <v>24</v>
      </c>
      <c r="J307" t="s">
        <v>30</v>
      </c>
    </row>
    <row r="308" spans="1:10" x14ac:dyDescent="0.25">
      <c r="A308" s="1">
        <v>45159</v>
      </c>
      <c r="B308" t="s">
        <v>339</v>
      </c>
      <c r="C308" t="s">
        <v>11</v>
      </c>
      <c r="D308">
        <v>54</v>
      </c>
      <c r="E308" t="s">
        <v>21</v>
      </c>
      <c r="F308">
        <v>1</v>
      </c>
      <c r="G308">
        <v>50</v>
      </c>
      <c r="H308">
        <v>50</v>
      </c>
      <c r="I308" t="s">
        <v>42</v>
      </c>
      <c r="J308" t="s">
        <v>19</v>
      </c>
    </row>
    <row r="309" spans="1:10" x14ac:dyDescent="0.25">
      <c r="A309" s="1">
        <v>45073</v>
      </c>
      <c r="B309" t="s">
        <v>340</v>
      </c>
      <c r="C309" t="s">
        <v>16</v>
      </c>
      <c r="D309">
        <v>26</v>
      </c>
      <c r="E309" t="s">
        <v>21</v>
      </c>
      <c r="F309">
        <v>2</v>
      </c>
      <c r="G309">
        <v>25</v>
      </c>
      <c r="H309">
        <v>50</v>
      </c>
      <c r="I309" t="s">
        <v>24</v>
      </c>
      <c r="J309" t="s">
        <v>27</v>
      </c>
    </row>
    <row r="310" spans="1:10" x14ac:dyDescent="0.25">
      <c r="A310" s="1">
        <v>45143</v>
      </c>
      <c r="B310" t="s">
        <v>341</v>
      </c>
      <c r="C310" t="s">
        <v>16</v>
      </c>
      <c r="D310">
        <v>34</v>
      </c>
      <c r="E310" t="s">
        <v>12</v>
      </c>
      <c r="F310">
        <v>4</v>
      </c>
      <c r="G310">
        <v>300</v>
      </c>
      <c r="H310">
        <v>1200</v>
      </c>
      <c r="I310" t="s">
        <v>42</v>
      </c>
      <c r="J310" t="s">
        <v>27</v>
      </c>
    </row>
    <row r="311" spans="1:10" x14ac:dyDescent="0.25">
      <c r="A311" s="1">
        <v>45283</v>
      </c>
      <c r="B311" t="s">
        <v>342</v>
      </c>
      <c r="C311" t="s">
        <v>16</v>
      </c>
      <c r="D311">
        <v>26</v>
      </c>
      <c r="E311" t="s">
        <v>12</v>
      </c>
      <c r="F311">
        <v>1</v>
      </c>
      <c r="G311">
        <v>25</v>
      </c>
      <c r="H311">
        <v>25</v>
      </c>
      <c r="I311" t="s">
        <v>36</v>
      </c>
      <c r="J311" t="s">
        <v>27</v>
      </c>
    </row>
    <row r="312" spans="1:10" x14ac:dyDescent="0.25">
      <c r="A312" s="1">
        <v>45211</v>
      </c>
      <c r="B312" t="s">
        <v>343</v>
      </c>
      <c r="C312" t="s">
        <v>16</v>
      </c>
      <c r="D312">
        <v>28</v>
      </c>
      <c r="E312" t="s">
        <v>12</v>
      </c>
      <c r="F312">
        <v>1</v>
      </c>
      <c r="G312">
        <v>25</v>
      </c>
      <c r="H312">
        <v>25</v>
      </c>
      <c r="I312" t="s">
        <v>38</v>
      </c>
      <c r="J312" t="s">
        <v>58</v>
      </c>
    </row>
    <row r="313" spans="1:10" x14ac:dyDescent="0.25">
      <c r="A313" s="1">
        <v>45265</v>
      </c>
      <c r="B313" t="s">
        <v>344</v>
      </c>
      <c r="C313" t="s">
        <v>16</v>
      </c>
      <c r="D313">
        <v>32</v>
      </c>
      <c r="E313" t="s">
        <v>12</v>
      </c>
      <c r="F313">
        <v>4</v>
      </c>
      <c r="G313">
        <v>25</v>
      </c>
      <c r="H313">
        <v>100</v>
      </c>
      <c r="I313" t="s">
        <v>36</v>
      </c>
      <c r="J313" t="s">
        <v>30</v>
      </c>
    </row>
    <row r="314" spans="1:10" x14ac:dyDescent="0.25">
      <c r="A314" s="1">
        <v>45176</v>
      </c>
      <c r="B314" t="s">
        <v>345</v>
      </c>
      <c r="C314" t="s">
        <v>11</v>
      </c>
      <c r="D314">
        <v>41</v>
      </c>
      <c r="E314" t="s">
        <v>17</v>
      </c>
      <c r="F314">
        <v>4</v>
      </c>
      <c r="G314">
        <v>30</v>
      </c>
      <c r="H314">
        <v>120</v>
      </c>
      <c r="I314" t="s">
        <v>49</v>
      </c>
      <c r="J314" t="s">
        <v>58</v>
      </c>
    </row>
    <row r="315" spans="1:10" x14ac:dyDescent="0.25">
      <c r="A315" s="1">
        <v>45006</v>
      </c>
      <c r="B315" t="s">
        <v>346</v>
      </c>
      <c r="C315" t="s">
        <v>16</v>
      </c>
      <c r="D315">
        <v>55</v>
      </c>
      <c r="E315" t="s">
        <v>12</v>
      </c>
      <c r="F315">
        <v>3</v>
      </c>
      <c r="G315">
        <v>500</v>
      </c>
      <c r="H315">
        <v>1500</v>
      </c>
      <c r="I315" t="s">
        <v>32</v>
      </c>
      <c r="J315" t="s">
        <v>30</v>
      </c>
    </row>
    <row r="316" spans="1:10" x14ac:dyDescent="0.25">
      <c r="A316" s="1">
        <v>45024</v>
      </c>
      <c r="B316" t="s">
        <v>347</v>
      </c>
      <c r="C316" t="s">
        <v>11</v>
      </c>
      <c r="D316">
        <v>52</v>
      </c>
      <c r="E316" t="s">
        <v>17</v>
      </c>
      <c r="F316">
        <v>4</v>
      </c>
      <c r="G316">
        <v>30</v>
      </c>
      <c r="H316">
        <v>120</v>
      </c>
      <c r="I316" t="s">
        <v>29</v>
      </c>
      <c r="J316" t="s">
        <v>27</v>
      </c>
    </row>
    <row r="317" spans="1:10" x14ac:dyDescent="0.25">
      <c r="A317" s="1">
        <v>45078</v>
      </c>
      <c r="B317" t="s">
        <v>348</v>
      </c>
      <c r="C317" t="s">
        <v>11</v>
      </c>
      <c r="D317">
        <v>47</v>
      </c>
      <c r="E317" t="s">
        <v>17</v>
      </c>
      <c r="F317">
        <v>2</v>
      </c>
      <c r="G317">
        <v>30</v>
      </c>
      <c r="H317">
        <v>60</v>
      </c>
      <c r="I317" t="s">
        <v>68</v>
      </c>
      <c r="J317" t="s">
        <v>58</v>
      </c>
    </row>
    <row r="318" spans="1:10" x14ac:dyDescent="0.25">
      <c r="A318" s="1">
        <v>45038</v>
      </c>
      <c r="B318" t="s">
        <v>349</v>
      </c>
      <c r="C318" t="s">
        <v>16</v>
      </c>
      <c r="D318">
        <v>48</v>
      </c>
      <c r="E318" t="s">
        <v>17</v>
      </c>
      <c r="F318">
        <v>2</v>
      </c>
      <c r="G318">
        <v>25</v>
      </c>
      <c r="H318">
        <v>50</v>
      </c>
      <c r="I318" t="s">
        <v>29</v>
      </c>
      <c r="J318" t="s">
        <v>27</v>
      </c>
    </row>
    <row r="319" spans="1:10" x14ac:dyDescent="0.25">
      <c r="A319" s="1">
        <v>44956</v>
      </c>
      <c r="B319" t="s">
        <v>350</v>
      </c>
      <c r="C319" t="s">
        <v>11</v>
      </c>
      <c r="D319">
        <v>22</v>
      </c>
      <c r="E319" t="s">
        <v>21</v>
      </c>
      <c r="F319">
        <v>3</v>
      </c>
      <c r="G319">
        <v>30</v>
      </c>
      <c r="H319">
        <v>90</v>
      </c>
      <c r="I319" t="s">
        <v>22</v>
      </c>
      <c r="J319" t="s">
        <v>19</v>
      </c>
    </row>
    <row r="320" spans="1:10" x14ac:dyDescent="0.25">
      <c r="A320" s="1">
        <v>45223</v>
      </c>
      <c r="B320" t="s">
        <v>351</v>
      </c>
      <c r="C320" t="s">
        <v>11</v>
      </c>
      <c r="D320">
        <v>61</v>
      </c>
      <c r="E320" t="s">
        <v>17</v>
      </c>
      <c r="F320">
        <v>1</v>
      </c>
      <c r="G320">
        <v>25</v>
      </c>
      <c r="H320">
        <v>25</v>
      </c>
      <c r="I320" t="s">
        <v>38</v>
      </c>
      <c r="J320" t="s">
        <v>30</v>
      </c>
    </row>
    <row r="321" spans="1:10" x14ac:dyDescent="0.25">
      <c r="A321" s="1">
        <v>45204</v>
      </c>
      <c r="B321" t="s">
        <v>352</v>
      </c>
      <c r="C321" t="s">
        <v>11</v>
      </c>
      <c r="D321">
        <v>31</v>
      </c>
      <c r="E321" t="s">
        <v>17</v>
      </c>
      <c r="F321">
        <v>1</v>
      </c>
      <c r="G321">
        <v>500</v>
      </c>
      <c r="H321">
        <v>500</v>
      </c>
      <c r="I321" t="s">
        <v>38</v>
      </c>
      <c r="J321" t="s">
        <v>58</v>
      </c>
    </row>
    <row r="322" spans="1:10" x14ac:dyDescent="0.25">
      <c r="A322" s="1">
        <v>44958</v>
      </c>
      <c r="B322" t="s">
        <v>353</v>
      </c>
      <c r="C322" t="s">
        <v>16</v>
      </c>
      <c r="D322">
        <v>28</v>
      </c>
      <c r="E322" t="s">
        <v>21</v>
      </c>
      <c r="F322">
        <v>4</v>
      </c>
      <c r="G322">
        <v>300</v>
      </c>
      <c r="H322">
        <v>1200</v>
      </c>
      <c r="I322" t="s">
        <v>18</v>
      </c>
      <c r="J322" t="s">
        <v>34</v>
      </c>
    </row>
    <row r="323" spans="1:10" x14ac:dyDescent="0.25">
      <c r="A323" s="1">
        <v>45087</v>
      </c>
      <c r="B323" t="s">
        <v>354</v>
      </c>
      <c r="C323" t="s">
        <v>16</v>
      </c>
      <c r="D323">
        <v>26</v>
      </c>
      <c r="E323" t="s">
        <v>21</v>
      </c>
      <c r="F323">
        <v>2</v>
      </c>
      <c r="G323">
        <v>25</v>
      </c>
      <c r="H323">
        <v>50</v>
      </c>
      <c r="I323" t="s">
        <v>68</v>
      </c>
      <c r="J323" t="s">
        <v>27</v>
      </c>
    </row>
    <row r="324" spans="1:10" x14ac:dyDescent="0.25">
      <c r="A324" s="1">
        <v>44956</v>
      </c>
      <c r="B324" t="s">
        <v>355</v>
      </c>
      <c r="C324" t="s">
        <v>11</v>
      </c>
      <c r="D324">
        <v>51</v>
      </c>
      <c r="E324" t="s">
        <v>21</v>
      </c>
      <c r="F324">
        <v>1</v>
      </c>
      <c r="G324">
        <v>500</v>
      </c>
      <c r="H324">
        <v>500</v>
      </c>
      <c r="I324" t="s">
        <v>22</v>
      </c>
      <c r="J324" t="s">
        <v>19</v>
      </c>
    </row>
    <row r="325" spans="1:10" x14ac:dyDescent="0.25">
      <c r="A325" s="1">
        <v>44952</v>
      </c>
      <c r="B325" t="s">
        <v>356</v>
      </c>
      <c r="C325" t="s">
        <v>16</v>
      </c>
      <c r="D325">
        <v>29</v>
      </c>
      <c r="E325" t="s">
        <v>12</v>
      </c>
      <c r="F325">
        <v>3</v>
      </c>
      <c r="G325">
        <v>300</v>
      </c>
      <c r="H325">
        <v>900</v>
      </c>
      <c r="I325" t="s">
        <v>22</v>
      </c>
      <c r="J325" t="s">
        <v>58</v>
      </c>
    </row>
    <row r="326" spans="1:10" x14ac:dyDescent="0.25">
      <c r="A326" s="1">
        <v>45226</v>
      </c>
      <c r="B326" t="s">
        <v>357</v>
      </c>
      <c r="C326" t="s">
        <v>16</v>
      </c>
      <c r="D326">
        <v>52</v>
      </c>
      <c r="E326" t="s">
        <v>21</v>
      </c>
      <c r="F326">
        <v>3</v>
      </c>
      <c r="G326">
        <v>50</v>
      </c>
      <c r="H326">
        <v>150</v>
      </c>
      <c r="I326" t="s">
        <v>38</v>
      </c>
      <c r="J326" t="s">
        <v>14</v>
      </c>
    </row>
    <row r="327" spans="1:10" x14ac:dyDescent="0.25">
      <c r="A327" s="1">
        <v>45171</v>
      </c>
      <c r="B327" t="s">
        <v>358</v>
      </c>
      <c r="C327" t="s">
        <v>16</v>
      </c>
      <c r="D327">
        <v>52</v>
      </c>
      <c r="E327" t="s">
        <v>21</v>
      </c>
      <c r="F327">
        <v>2</v>
      </c>
      <c r="G327">
        <v>25</v>
      </c>
      <c r="H327">
        <v>50</v>
      </c>
      <c r="I327" t="s">
        <v>49</v>
      </c>
      <c r="J327" t="s">
        <v>27</v>
      </c>
    </row>
    <row r="328" spans="1:10" x14ac:dyDescent="0.25">
      <c r="A328" s="1">
        <v>45184</v>
      </c>
      <c r="B328" t="s">
        <v>359</v>
      </c>
      <c r="C328" t="s">
        <v>16</v>
      </c>
      <c r="D328">
        <v>18</v>
      </c>
      <c r="E328" t="s">
        <v>17</v>
      </c>
      <c r="F328">
        <v>3</v>
      </c>
      <c r="G328">
        <v>25</v>
      </c>
      <c r="H328">
        <v>75</v>
      </c>
      <c r="I328" t="s">
        <v>49</v>
      </c>
      <c r="J328" t="s">
        <v>14</v>
      </c>
    </row>
    <row r="329" spans="1:10" x14ac:dyDescent="0.25">
      <c r="A329" s="1">
        <v>45198</v>
      </c>
      <c r="B329" t="s">
        <v>360</v>
      </c>
      <c r="C329" t="s">
        <v>11</v>
      </c>
      <c r="D329">
        <v>57</v>
      </c>
      <c r="E329" t="s">
        <v>21</v>
      </c>
      <c r="F329">
        <v>3</v>
      </c>
      <c r="G329">
        <v>50</v>
      </c>
      <c r="H329">
        <v>150</v>
      </c>
      <c r="I329" t="s">
        <v>49</v>
      </c>
      <c r="J329" t="s">
        <v>14</v>
      </c>
    </row>
    <row r="330" spans="1:10" x14ac:dyDescent="0.25">
      <c r="A330" s="1">
        <v>45007</v>
      </c>
      <c r="B330" t="s">
        <v>361</v>
      </c>
      <c r="C330" t="s">
        <v>11</v>
      </c>
      <c r="D330">
        <v>39</v>
      </c>
      <c r="E330" t="s">
        <v>12</v>
      </c>
      <c r="F330">
        <v>2</v>
      </c>
      <c r="G330">
        <v>50</v>
      </c>
      <c r="H330">
        <v>100</v>
      </c>
      <c r="I330" t="s">
        <v>32</v>
      </c>
      <c r="J330" t="s">
        <v>34</v>
      </c>
    </row>
    <row r="331" spans="1:10" x14ac:dyDescent="0.25">
      <c r="A331" s="1">
        <v>44956</v>
      </c>
      <c r="B331" t="s">
        <v>362</v>
      </c>
      <c r="C331" t="s">
        <v>16</v>
      </c>
      <c r="D331">
        <v>46</v>
      </c>
      <c r="E331" t="s">
        <v>21</v>
      </c>
      <c r="F331">
        <v>4</v>
      </c>
      <c r="G331">
        <v>25</v>
      </c>
      <c r="H331">
        <v>100</v>
      </c>
      <c r="I331" t="s">
        <v>22</v>
      </c>
      <c r="J331" t="s">
        <v>19</v>
      </c>
    </row>
    <row r="332" spans="1:10" x14ac:dyDescent="0.25">
      <c r="A332" s="1">
        <v>45187</v>
      </c>
      <c r="B332" t="s">
        <v>363</v>
      </c>
      <c r="C332" t="s">
        <v>16</v>
      </c>
      <c r="D332">
        <v>25</v>
      </c>
      <c r="E332" t="s">
        <v>12</v>
      </c>
      <c r="F332">
        <v>4</v>
      </c>
      <c r="G332">
        <v>50</v>
      </c>
      <c r="H332">
        <v>200</v>
      </c>
      <c r="I332" t="s">
        <v>49</v>
      </c>
      <c r="J332" t="s">
        <v>19</v>
      </c>
    </row>
    <row r="333" spans="1:10" x14ac:dyDescent="0.25">
      <c r="A333" s="1">
        <v>44968</v>
      </c>
      <c r="B333" t="s">
        <v>364</v>
      </c>
      <c r="C333" t="s">
        <v>11</v>
      </c>
      <c r="D333">
        <v>28</v>
      </c>
      <c r="E333" t="s">
        <v>21</v>
      </c>
      <c r="F333">
        <v>3</v>
      </c>
      <c r="G333">
        <v>30</v>
      </c>
      <c r="H333">
        <v>90</v>
      </c>
      <c r="I333" t="s">
        <v>18</v>
      </c>
      <c r="J333" t="s">
        <v>27</v>
      </c>
    </row>
    <row r="334" spans="1:10" x14ac:dyDescent="0.25">
      <c r="A334" s="1">
        <v>45022</v>
      </c>
      <c r="B334" t="s">
        <v>365</v>
      </c>
      <c r="C334" t="s">
        <v>11</v>
      </c>
      <c r="D334">
        <v>58</v>
      </c>
      <c r="E334" t="s">
        <v>21</v>
      </c>
      <c r="F334">
        <v>4</v>
      </c>
      <c r="G334">
        <v>300</v>
      </c>
      <c r="H334">
        <v>1200</v>
      </c>
      <c r="I334" t="s">
        <v>29</v>
      </c>
      <c r="J334" t="s">
        <v>58</v>
      </c>
    </row>
    <row r="335" spans="1:10" x14ac:dyDescent="0.25">
      <c r="A335" s="1">
        <v>44962</v>
      </c>
      <c r="B335" t="s">
        <v>366</v>
      </c>
      <c r="C335" t="s">
        <v>16</v>
      </c>
      <c r="D335">
        <v>54</v>
      </c>
      <c r="E335" t="s">
        <v>21</v>
      </c>
      <c r="F335">
        <v>4</v>
      </c>
      <c r="G335">
        <v>300</v>
      </c>
      <c r="H335">
        <v>1200</v>
      </c>
      <c r="I335" t="s">
        <v>18</v>
      </c>
      <c r="J335" t="s">
        <v>25</v>
      </c>
    </row>
    <row r="336" spans="1:10" x14ac:dyDescent="0.25">
      <c r="A336" s="1">
        <v>45231</v>
      </c>
      <c r="B336" t="s">
        <v>367</v>
      </c>
      <c r="C336" t="s">
        <v>11</v>
      </c>
      <c r="D336">
        <v>31</v>
      </c>
      <c r="E336" t="s">
        <v>21</v>
      </c>
      <c r="F336">
        <v>3</v>
      </c>
      <c r="G336">
        <v>300</v>
      </c>
      <c r="H336">
        <v>900</v>
      </c>
      <c r="I336" t="s">
        <v>13</v>
      </c>
      <c r="J336" t="s">
        <v>34</v>
      </c>
    </row>
    <row r="337" spans="1:10" x14ac:dyDescent="0.25">
      <c r="A337" s="1">
        <v>44961</v>
      </c>
      <c r="B337" t="s">
        <v>368</v>
      </c>
      <c r="C337" t="s">
        <v>16</v>
      </c>
      <c r="D337">
        <v>47</v>
      </c>
      <c r="E337" t="s">
        <v>12</v>
      </c>
      <c r="F337">
        <v>4</v>
      </c>
      <c r="G337">
        <v>30</v>
      </c>
      <c r="H337">
        <v>120</v>
      </c>
      <c r="I337" t="s">
        <v>18</v>
      </c>
      <c r="J337" t="s">
        <v>27</v>
      </c>
    </row>
    <row r="338" spans="1:10" x14ac:dyDescent="0.25">
      <c r="A338" s="1">
        <v>45272</v>
      </c>
      <c r="B338" t="s">
        <v>369</v>
      </c>
      <c r="C338" t="s">
        <v>16</v>
      </c>
      <c r="D338">
        <v>52</v>
      </c>
      <c r="E338" t="s">
        <v>12</v>
      </c>
      <c r="F338">
        <v>3</v>
      </c>
      <c r="G338">
        <v>50</v>
      </c>
      <c r="H338">
        <v>150</v>
      </c>
      <c r="I338" t="s">
        <v>36</v>
      </c>
      <c r="J338" t="s">
        <v>30</v>
      </c>
    </row>
    <row r="339" spans="1:10" x14ac:dyDescent="0.25">
      <c r="A339" s="1">
        <v>45047</v>
      </c>
      <c r="B339" t="s">
        <v>370</v>
      </c>
      <c r="C339" t="s">
        <v>11</v>
      </c>
      <c r="D339">
        <v>38</v>
      </c>
      <c r="E339" t="s">
        <v>17</v>
      </c>
      <c r="F339">
        <v>1</v>
      </c>
      <c r="G339">
        <v>500</v>
      </c>
      <c r="H339">
        <v>500</v>
      </c>
      <c r="I339" t="s">
        <v>24</v>
      </c>
      <c r="J339" t="s">
        <v>19</v>
      </c>
    </row>
    <row r="340" spans="1:10" x14ac:dyDescent="0.25">
      <c r="A340" s="1">
        <v>45133</v>
      </c>
      <c r="B340" t="s">
        <v>371</v>
      </c>
      <c r="C340" t="s">
        <v>11</v>
      </c>
      <c r="D340">
        <v>54</v>
      </c>
      <c r="E340" t="s">
        <v>12</v>
      </c>
      <c r="F340">
        <v>2</v>
      </c>
      <c r="G340">
        <v>50</v>
      </c>
      <c r="H340">
        <v>100</v>
      </c>
      <c r="I340" t="s">
        <v>76</v>
      </c>
      <c r="J340" t="s">
        <v>34</v>
      </c>
    </row>
    <row r="341" spans="1:10" x14ac:dyDescent="0.25">
      <c r="A341" s="1">
        <v>44988</v>
      </c>
      <c r="B341" t="s">
        <v>372</v>
      </c>
      <c r="C341" t="s">
        <v>16</v>
      </c>
      <c r="D341">
        <v>22</v>
      </c>
      <c r="E341" t="s">
        <v>21</v>
      </c>
      <c r="F341">
        <v>2</v>
      </c>
      <c r="G341">
        <v>25</v>
      </c>
      <c r="H341">
        <v>50</v>
      </c>
      <c r="I341" t="s">
        <v>32</v>
      </c>
      <c r="J341" t="s">
        <v>14</v>
      </c>
    </row>
    <row r="342" spans="1:10" x14ac:dyDescent="0.25">
      <c r="A342" s="1">
        <v>45218</v>
      </c>
      <c r="B342" t="s">
        <v>373</v>
      </c>
      <c r="C342" t="s">
        <v>16</v>
      </c>
      <c r="D342">
        <v>36</v>
      </c>
      <c r="E342" t="s">
        <v>17</v>
      </c>
      <c r="F342">
        <v>4</v>
      </c>
      <c r="G342">
        <v>300</v>
      </c>
      <c r="H342">
        <v>1200</v>
      </c>
      <c r="I342" t="s">
        <v>38</v>
      </c>
      <c r="J342" t="s">
        <v>58</v>
      </c>
    </row>
    <row r="343" spans="1:10" x14ac:dyDescent="0.25">
      <c r="A343" s="1">
        <v>45053</v>
      </c>
      <c r="B343" t="s">
        <v>374</v>
      </c>
      <c r="C343" t="s">
        <v>11</v>
      </c>
      <c r="D343">
        <v>31</v>
      </c>
      <c r="E343" t="s">
        <v>17</v>
      </c>
      <c r="F343">
        <v>4</v>
      </c>
      <c r="G343">
        <v>50</v>
      </c>
      <c r="H343">
        <v>200</v>
      </c>
      <c r="I343" t="s">
        <v>24</v>
      </c>
      <c r="J343" t="s">
        <v>25</v>
      </c>
    </row>
    <row r="344" spans="1:10" x14ac:dyDescent="0.25">
      <c r="A344" s="1">
        <v>45223</v>
      </c>
      <c r="B344" t="s">
        <v>375</v>
      </c>
      <c r="C344" t="s">
        <v>16</v>
      </c>
      <c r="D344">
        <v>43</v>
      </c>
      <c r="E344" t="s">
        <v>17</v>
      </c>
      <c r="F344">
        <v>4</v>
      </c>
      <c r="G344">
        <v>500</v>
      </c>
      <c r="H344">
        <v>2000</v>
      </c>
      <c r="I344" t="s">
        <v>38</v>
      </c>
      <c r="J344" t="s">
        <v>30</v>
      </c>
    </row>
    <row r="345" spans="1:10" x14ac:dyDescent="0.25">
      <c r="A345" s="1">
        <v>45231</v>
      </c>
      <c r="B345" t="s">
        <v>376</v>
      </c>
      <c r="C345" t="s">
        <v>11</v>
      </c>
      <c r="D345">
        <v>21</v>
      </c>
      <c r="E345" t="s">
        <v>21</v>
      </c>
      <c r="F345">
        <v>2</v>
      </c>
      <c r="G345">
        <v>25</v>
      </c>
      <c r="H345">
        <v>50</v>
      </c>
      <c r="I345" t="s">
        <v>13</v>
      </c>
      <c r="J345" t="s">
        <v>34</v>
      </c>
    </row>
    <row r="346" spans="1:10" x14ac:dyDescent="0.25">
      <c r="A346" s="1">
        <v>44947</v>
      </c>
      <c r="B346" t="s">
        <v>377</v>
      </c>
      <c r="C346" t="s">
        <v>16</v>
      </c>
      <c r="D346">
        <v>42</v>
      </c>
      <c r="E346" t="s">
        <v>12</v>
      </c>
      <c r="F346">
        <v>1</v>
      </c>
      <c r="G346">
        <v>30</v>
      </c>
      <c r="H346">
        <v>30</v>
      </c>
      <c r="I346" t="s">
        <v>22</v>
      </c>
      <c r="J346" t="s">
        <v>27</v>
      </c>
    </row>
    <row r="347" spans="1:10" x14ac:dyDescent="0.25">
      <c r="A347" s="1">
        <v>45244</v>
      </c>
      <c r="B347" t="s">
        <v>378</v>
      </c>
      <c r="C347" t="s">
        <v>11</v>
      </c>
      <c r="D347">
        <v>62</v>
      </c>
      <c r="E347" t="s">
        <v>21</v>
      </c>
      <c r="F347">
        <v>1</v>
      </c>
      <c r="G347">
        <v>30</v>
      </c>
      <c r="H347">
        <v>30</v>
      </c>
      <c r="I347" t="s">
        <v>13</v>
      </c>
      <c r="J347" t="s">
        <v>30</v>
      </c>
    </row>
    <row r="348" spans="1:10" x14ac:dyDescent="0.25">
      <c r="A348" s="1">
        <v>44968</v>
      </c>
      <c r="B348" t="s">
        <v>379</v>
      </c>
      <c r="C348" t="s">
        <v>11</v>
      </c>
      <c r="D348">
        <v>59</v>
      </c>
      <c r="E348" t="s">
        <v>17</v>
      </c>
      <c r="F348">
        <v>2</v>
      </c>
      <c r="G348">
        <v>500</v>
      </c>
      <c r="H348">
        <v>1000</v>
      </c>
      <c r="I348" t="s">
        <v>18</v>
      </c>
      <c r="J348" t="s">
        <v>27</v>
      </c>
    </row>
    <row r="349" spans="1:10" x14ac:dyDescent="0.25">
      <c r="A349" s="1">
        <v>45141</v>
      </c>
      <c r="B349" t="s">
        <v>380</v>
      </c>
      <c r="C349" t="s">
        <v>11</v>
      </c>
      <c r="D349">
        <v>42</v>
      </c>
      <c r="E349" t="s">
        <v>21</v>
      </c>
      <c r="F349">
        <v>1</v>
      </c>
      <c r="G349">
        <v>25</v>
      </c>
      <c r="H349">
        <v>25</v>
      </c>
      <c r="I349" t="s">
        <v>42</v>
      </c>
      <c r="J349" t="s">
        <v>58</v>
      </c>
    </row>
    <row r="350" spans="1:10" x14ac:dyDescent="0.25">
      <c r="A350" s="1">
        <v>45263</v>
      </c>
      <c r="B350" t="s">
        <v>381</v>
      </c>
      <c r="C350" t="s">
        <v>16</v>
      </c>
      <c r="D350">
        <v>35</v>
      </c>
      <c r="E350" t="s">
        <v>21</v>
      </c>
      <c r="F350">
        <v>2</v>
      </c>
      <c r="G350">
        <v>300</v>
      </c>
      <c r="H350">
        <v>600</v>
      </c>
      <c r="I350" t="s">
        <v>36</v>
      </c>
      <c r="J350" t="s">
        <v>25</v>
      </c>
    </row>
    <row r="351" spans="1:10" x14ac:dyDescent="0.25">
      <c r="A351" s="1">
        <v>45225</v>
      </c>
      <c r="B351" t="s">
        <v>382</v>
      </c>
      <c r="C351" t="s">
        <v>16</v>
      </c>
      <c r="D351">
        <v>57</v>
      </c>
      <c r="E351" t="s">
        <v>12</v>
      </c>
      <c r="F351">
        <v>1</v>
      </c>
      <c r="G351">
        <v>50</v>
      </c>
      <c r="H351">
        <v>50</v>
      </c>
      <c r="I351" t="s">
        <v>38</v>
      </c>
      <c r="J351" t="s">
        <v>58</v>
      </c>
    </row>
    <row r="352" spans="1:10" x14ac:dyDescent="0.25">
      <c r="A352" s="1">
        <v>45216</v>
      </c>
      <c r="B352" t="s">
        <v>383</v>
      </c>
      <c r="C352" t="s">
        <v>11</v>
      </c>
      <c r="D352">
        <v>25</v>
      </c>
      <c r="E352" t="s">
        <v>12</v>
      </c>
      <c r="F352">
        <v>3</v>
      </c>
      <c r="G352">
        <v>25</v>
      </c>
      <c r="H352">
        <v>75</v>
      </c>
      <c r="I352" t="s">
        <v>38</v>
      </c>
      <c r="J352" t="s">
        <v>30</v>
      </c>
    </row>
    <row r="353" spans="1:10" x14ac:dyDescent="0.25">
      <c r="A353" s="1">
        <v>45194</v>
      </c>
      <c r="B353" t="s">
        <v>384</v>
      </c>
      <c r="C353" t="s">
        <v>16</v>
      </c>
      <c r="D353">
        <v>56</v>
      </c>
      <c r="E353" t="s">
        <v>17</v>
      </c>
      <c r="F353">
        <v>3</v>
      </c>
      <c r="G353">
        <v>30</v>
      </c>
      <c r="H353">
        <v>90</v>
      </c>
      <c r="I353" t="s">
        <v>49</v>
      </c>
      <c r="J353" t="s">
        <v>19</v>
      </c>
    </row>
    <row r="354" spans="1:10" x14ac:dyDescent="0.25">
      <c r="A354" s="1">
        <v>45088</v>
      </c>
      <c r="B354" t="s">
        <v>385</v>
      </c>
      <c r="C354" t="s">
        <v>11</v>
      </c>
      <c r="D354">
        <v>57</v>
      </c>
      <c r="E354" t="s">
        <v>21</v>
      </c>
      <c r="F354">
        <v>2</v>
      </c>
      <c r="G354">
        <v>500</v>
      </c>
      <c r="H354">
        <v>1000</v>
      </c>
      <c r="I354" t="s">
        <v>68</v>
      </c>
      <c r="J354" t="s">
        <v>25</v>
      </c>
    </row>
    <row r="355" spans="1:10" x14ac:dyDescent="0.25">
      <c r="A355" s="1">
        <v>45060</v>
      </c>
      <c r="B355" t="s">
        <v>386</v>
      </c>
      <c r="C355" t="s">
        <v>11</v>
      </c>
      <c r="D355">
        <v>31</v>
      </c>
      <c r="E355" t="s">
        <v>21</v>
      </c>
      <c r="F355">
        <v>1</v>
      </c>
      <c r="G355">
        <v>500</v>
      </c>
      <c r="H355">
        <v>500</v>
      </c>
      <c r="I355" t="s">
        <v>24</v>
      </c>
      <c r="J355" t="s">
        <v>25</v>
      </c>
    </row>
    <row r="356" spans="1:10" x14ac:dyDescent="0.25">
      <c r="A356" s="1">
        <v>45031</v>
      </c>
      <c r="B356" t="s">
        <v>387</v>
      </c>
      <c r="C356" t="s">
        <v>16</v>
      </c>
      <c r="D356">
        <v>49</v>
      </c>
      <c r="E356" t="s">
        <v>12</v>
      </c>
      <c r="F356">
        <v>4</v>
      </c>
      <c r="G356">
        <v>50</v>
      </c>
      <c r="H356">
        <v>200</v>
      </c>
      <c r="I356" t="s">
        <v>29</v>
      </c>
      <c r="J356" t="s">
        <v>27</v>
      </c>
    </row>
    <row r="357" spans="1:10" x14ac:dyDescent="0.25">
      <c r="A357" s="1">
        <v>45269</v>
      </c>
      <c r="B357" t="s">
        <v>388</v>
      </c>
      <c r="C357" t="s">
        <v>16</v>
      </c>
      <c r="D357">
        <v>55</v>
      </c>
      <c r="E357" t="s">
        <v>21</v>
      </c>
      <c r="F357">
        <v>1</v>
      </c>
      <c r="G357">
        <v>500</v>
      </c>
      <c r="H357">
        <v>500</v>
      </c>
      <c r="I357" t="s">
        <v>36</v>
      </c>
      <c r="J357" t="s">
        <v>27</v>
      </c>
    </row>
    <row r="358" spans="1:10" x14ac:dyDescent="0.25">
      <c r="A358" s="1">
        <v>45087</v>
      </c>
      <c r="B358" t="s">
        <v>389</v>
      </c>
      <c r="C358" t="s">
        <v>11</v>
      </c>
      <c r="D358">
        <v>50</v>
      </c>
      <c r="E358" t="s">
        <v>21</v>
      </c>
      <c r="F358">
        <v>3</v>
      </c>
      <c r="G358">
        <v>500</v>
      </c>
      <c r="H358">
        <v>1500</v>
      </c>
      <c r="I358" t="s">
        <v>68</v>
      </c>
      <c r="J358" t="s">
        <v>27</v>
      </c>
    </row>
    <row r="359" spans="1:10" x14ac:dyDescent="0.25">
      <c r="A359" s="1">
        <v>45049</v>
      </c>
      <c r="B359" t="s">
        <v>390</v>
      </c>
      <c r="C359" t="s">
        <v>16</v>
      </c>
      <c r="D359">
        <v>40</v>
      </c>
      <c r="E359" t="s">
        <v>21</v>
      </c>
      <c r="F359">
        <v>3</v>
      </c>
      <c r="G359">
        <v>25</v>
      </c>
      <c r="H359">
        <v>75</v>
      </c>
      <c r="I359" t="s">
        <v>24</v>
      </c>
      <c r="J359" t="s">
        <v>34</v>
      </c>
    </row>
    <row r="360" spans="1:10" x14ac:dyDescent="0.25">
      <c r="A360" s="1">
        <v>45062</v>
      </c>
      <c r="B360" t="s">
        <v>391</v>
      </c>
      <c r="C360" t="s">
        <v>16</v>
      </c>
      <c r="D360">
        <v>32</v>
      </c>
      <c r="E360" t="s">
        <v>12</v>
      </c>
      <c r="F360">
        <v>1</v>
      </c>
      <c r="G360">
        <v>300</v>
      </c>
      <c r="H360">
        <v>300</v>
      </c>
      <c r="I360" t="s">
        <v>24</v>
      </c>
      <c r="J360" t="s">
        <v>30</v>
      </c>
    </row>
    <row r="361" spans="1:10" x14ac:dyDescent="0.25">
      <c r="A361" s="1">
        <v>45129</v>
      </c>
      <c r="B361" t="s">
        <v>392</v>
      </c>
      <c r="C361" t="s">
        <v>11</v>
      </c>
      <c r="D361">
        <v>50</v>
      </c>
      <c r="E361" t="s">
        <v>17</v>
      </c>
      <c r="F361">
        <v>1</v>
      </c>
      <c r="G361">
        <v>50</v>
      </c>
      <c r="H361">
        <v>50</v>
      </c>
      <c r="I361" t="s">
        <v>76</v>
      </c>
      <c r="J361" t="s">
        <v>27</v>
      </c>
    </row>
    <row r="362" spans="1:10" x14ac:dyDescent="0.25">
      <c r="A362" s="1">
        <v>44994</v>
      </c>
      <c r="B362" t="s">
        <v>393</v>
      </c>
      <c r="C362" t="s">
        <v>11</v>
      </c>
      <c r="D362">
        <v>42</v>
      </c>
      <c r="E362" t="s">
        <v>17</v>
      </c>
      <c r="F362">
        <v>4</v>
      </c>
      <c r="G362">
        <v>25</v>
      </c>
      <c r="H362">
        <v>100</v>
      </c>
      <c r="I362" t="s">
        <v>32</v>
      </c>
      <c r="J362" t="s">
        <v>58</v>
      </c>
    </row>
    <row r="363" spans="1:10" x14ac:dyDescent="0.25">
      <c r="A363" s="1">
        <v>45270</v>
      </c>
      <c r="B363" t="s">
        <v>394</v>
      </c>
      <c r="C363" t="s">
        <v>16</v>
      </c>
      <c r="D363">
        <v>34</v>
      </c>
      <c r="E363" t="s">
        <v>21</v>
      </c>
      <c r="F363">
        <v>4</v>
      </c>
      <c r="G363">
        <v>300</v>
      </c>
      <c r="H363">
        <v>1200</v>
      </c>
      <c r="I363" t="s">
        <v>36</v>
      </c>
      <c r="J363" t="s">
        <v>25</v>
      </c>
    </row>
    <row r="364" spans="1:10" x14ac:dyDescent="0.25">
      <c r="A364" s="1">
        <v>45257</v>
      </c>
      <c r="B364" t="s">
        <v>395</v>
      </c>
      <c r="C364" t="s">
        <v>11</v>
      </c>
      <c r="D364">
        <v>50</v>
      </c>
      <c r="E364" t="s">
        <v>17</v>
      </c>
      <c r="F364">
        <v>1</v>
      </c>
      <c r="G364">
        <v>25</v>
      </c>
      <c r="H364">
        <v>25</v>
      </c>
      <c r="I364" t="s">
        <v>13</v>
      </c>
      <c r="J364" t="s">
        <v>19</v>
      </c>
    </row>
    <row r="365" spans="1:10" x14ac:dyDescent="0.25">
      <c r="A365" s="1">
        <v>45080</v>
      </c>
      <c r="B365" t="s">
        <v>396</v>
      </c>
      <c r="C365" t="s">
        <v>11</v>
      </c>
      <c r="D365">
        <v>64</v>
      </c>
      <c r="E365" t="s">
        <v>12</v>
      </c>
      <c r="F365">
        <v>1</v>
      </c>
      <c r="G365">
        <v>25</v>
      </c>
      <c r="H365">
        <v>25</v>
      </c>
      <c r="I365" t="s">
        <v>68</v>
      </c>
      <c r="J365" t="s">
        <v>27</v>
      </c>
    </row>
    <row r="366" spans="1:10" x14ac:dyDescent="0.25">
      <c r="A366" s="1">
        <v>45161</v>
      </c>
      <c r="B366" t="s">
        <v>397</v>
      </c>
      <c r="C366" t="s">
        <v>16</v>
      </c>
      <c r="D366">
        <v>19</v>
      </c>
      <c r="E366" t="s">
        <v>12</v>
      </c>
      <c r="F366">
        <v>1</v>
      </c>
      <c r="G366">
        <v>500</v>
      </c>
      <c r="H366">
        <v>500</v>
      </c>
      <c r="I366" t="s">
        <v>42</v>
      </c>
      <c r="J366" t="s">
        <v>34</v>
      </c>
    </row>
    <row r="367" spans="1:10" x14ac:dyDescent="0.25">
      <c r="A367" s="1">
        <v>45088</v>
      </c>
      <c r="B367" t="s">
        <v>398</v>
      </c>
      <c r="C367" t="s">
        <v>11</v>
      </c>
      <c r="D367">
        <v>31</v>
      </c>
      <c r="E367" t="s">
        <v>17</v>
      </c>
      <c r="F367">
        <v>1</v>
      </c>
      <c r="G367">
        <v>300</v>
      </c>
      <c r="H367">
        <v>300</v>
      </c>
      <c r="I367" t="s">
        <v>68</v>
      </c>
      <c r="J367" t="s">
        <v>25</v>
      </c>
    </row>
    <row r="368" spans="1:10" x14ac:dyDescent="0.25">
      <c r="A368" s="1">
        <v>44964</v>
      </c>
      <c r="B368" t="s">
        <v>399</v>
      </c>
      <c r="C368" t="s">
        <v>11</v>
      </c>
      <c r="D368">
        <v>57</v>
      </c>
      <c r="E368" t="s">
        <v>17</v>
      </c>
      <c r="F368">
        <v>2</v>
      </c>
      <c r="G368">
        <v>50</v>
      </c>
      <c r="H368">
        <v>100</v>
      </c>
      <c r="I368" t="s">
        <v>18</v>
      </c>
      <c r="J368" t="s">
        <v>30</v>
      </c>
    </row>
    <row r="369" spans="1:10" x14ac:dyDescent="0.25">
      <c r="A369" s="1">
        <v>44931</v>
      </c>
      <c r="B369" t="s">
        <v>400</v>
      </c>
      <c r="C369" t="s">
        <v>16</v>
      </c>
      <c r="D369">
        <v>57</v>
      </c>
      <c r="E369" t="s">
        <v>21</v>
      </c>
      <c r="F369">
        <v>1</v>
      </c>
      <c r="G369">
        <v>50</v>
      </c>
      <c r="H369">
        <v>50</v>
      </c>
      <c r="I369" t="s">
        <v>22</v>
      </c>
      <c r="J369" t="s">
        <v>58</v>
      </c>
    </row>
    <row r="370" spans="1:10" x14ac:dyDescent="0.25">
      <c r="A370" s="1">
        <v>45161</v>
      </c>
      <c r="B370" t="s">
        <v>401</v>
      </c>
      <c r="C370" t="s">
        <v>16</v>
      </c>
      <c r="D370">
        <v>56</v>
      </c>
      <c r="E370" t="s">
        <v>17</v>
      </c>
      <c r="F370">
        <v>4</v>
      </c>
      <c r="G370">
        <v>300</v>
      </c>
      <c r="H370">
        <v>1200</v>
      </c>
      <c r="I370" t="s">
        <v>42</v>
      </c>
      <c r="J370" t="s">
        <v>34</v>
      </c>
    </row>
    <row r="371" spans="1:10" x14ac:dyDescent="0.25">
      <c r="A371" s="1">
        <v>45245</v>
      </c>
      <c r="B371" t="s">
        <v>402</v>
      </c>
      <c r="C371" t="s">
        <v>11</v>
      </c>
      <c r="D371">
        <v>23</v>
      </c>
      <c r="E371" t="s">
        <v>21</v>
      </c>
      <c r="F371">
        <v>3</v>
      </c>
      <c r="G371">
        <v>500</v>
      </c>
      <c r="H371">
        <v>1500</v>
      </c>
      <c r="I371" t="s">
        <v>13</v>
      </c>
      <c r="J371" t="s">
        <v>34</v>
      </c>
    </row>
    <row r="372" spans="1:10" x14ac:dyDescent="0.25">
      <c r="A372" s="1">
        <v>45215</v>
      </c>
      <c r="B372" t="s">
        <v>403</v>
      </c>
      <c r="C372" t="s">
        <v>11</v>
      </c>
      <c r="D372">
        <v>23</v>
      </c>
      <c r="E372" t="s">
        <v>21</v>
      </c>
      <c r="F372">
        <v>2</v>
      </c>
      <c r="G372">
        <v>30</v>
      </c>
      <c r="H372">
        <v>60</v>
      </c>
      <c r="I372" t="s">
        <v>38</v>
      </c>
      <c r="J372" t="s">
        <v>19</v>
      </c>
    </row>
    <row r="373" spans="1:10" x14ac:dyDescent="0.25">
      <c r="A373" s="1">
        <v>44978</v>
      </c>
      <c r="B373" t="s">
        <v>404</v>
      </c>
      <c r="C373" t="s">
        <v>16</v>
      </c>
      <c r="D373">
        <v>20</v>
      </c>
      <c r="E373" t="s">
        <v>12</v>
      </c>
      <c r="F373">
        <v>1</v>
      </c>
      <c r="G373">
        <v>25</v>
      </c>
      <c r="H373">
        <v>25</v>
      </c>
      <c r="I373" t="s">
        <v>18</v>
      </c>
      <c r="J373" t="s">
        <v>30</v>
      </c>
    </row>
    <row r="374" spans="1:10" x14ac:dyDescent="0.25">
      <c r="A374" s="1">
        <v>44964</v>
      </c>
      <c r="B374" t="s">
        <v>405</v>
      </c>
      <c r="C374" t="s">
        <v>16</v>
      </c>
      <c r="D374">
        <v>24</v>
      </c>
      <c r="E374" t="s">
        <v>12</v>
      </c>
      <c r="F374">
        <v>3</v>
      </c>
      <c r="G374">
        <v>500</v>
      </c>
      <c r="H374">
        <v>1500</v>
      </c>
      <c r="I374" t="s">
        <v>18</v>
      </c>
      <c r="J374" t="s">
        <v>30</v>
      </c>
    </row>
    <row r="375" spans="1:10" x14ac:dyDescent="0.25">
      <c r="A375" s="1">
        <v>45202</v>
      </c>
      <c r="B375" t="s">
        <v>406</v>
      </c>
      <c r="C375" t="s">
        <v>16</v>
      </c>
      <c r="D375">
        <v>25</v>
      </c>
      <c r="E375" t="s">
        <v>12</v>
      </c>
      <c r="F375">
        <v>2</v>
      </c>
      <c r="G375">
        <v>300</v>
      </c>
      <c r="H375">
        <v>600</v>
      </c>
      <c r="I375" t="s">
        <v>38</v>
      </c>
      <c r="J375" t="s">
        <v>30</v>
      </c>
    </row>
    <row r="376" spans="1:10" x14ac:dyDescent="0.25">
      <c r="A376" s="1">
        <v>45036</v>
      </c>
      <c r="B376" t="s">
        <v>407</v>
      </c>
      <c r="C376" t="s">
        <v>16</v>
      </c>
      <c r="D376">
        <v>59</v>
      </c>
      <c r="E376" t="s">
        <v>12</v>
      </c>
      <c r="F376">
        <v>3</v>
      </c>
      <c r="G376">
        <v>25</v>
      </c>
      <c r="H376">
        <v>75</v>
      </c>
      <c r="I376" t="s">
        <v>29</v>
      </c>
      <c r="J376" t="s">
        <v>58</v>
      </c>
    </row>
    <row r="377" spans="1:10" x14ac:dyDescent="0.25">
      <c r="A377" s="1">
        <v>45186</v>
      </c>
      <c r="B377" t="s">
        <v>408</v>
      </c>
      <c r="C377" t="s">
        <v>11</v>
      </c>
      <c r="D377">
        <v>32</v>
      </c>
      <c r="E377" t="s">
        <v>17</v>
      </c>
      <c r="F377">
        <v>1</v>
      </c>
      <c r="G377">
        <v>50</v>
      </c>
      <c r="H377">
        <v>50</v>
      </c>
      <c r="I377" t="s">
        <v>49</v>
      </c>
      <c r="J377" t="s">
        <v>25</v>
      </c>
    </row>
    <row r="378" spans="1:10" x14ac:dyDescent="0.25">
      <c r="A378" s="1">
        <v>45062</v>
      </c>
      <c r="B378" t="s">
        <v>409</v>
      </c>
      <c r="C378" t="s">
        <v>16</v>
      </c>
      <c r="D378">
        <v>64</v>
      </c>
      <c r="E378" t="s">
        <v>12</v>
      </c>
      <c r="F378">
        <v>1</v>
      </c>
      <c r="G378">
        <v>30</v>
      </c>
      <c r="H378">
        <v>30</v>
      </c>
      <c r="I378" t="s">
        <v>24</v>
      </c>
      <c r="J378" t="s">
        <v>30</v>
      </c>
    </row>
    <row r="379" spans="1:10" x14ac:dyDescent="0.25">
      <c r="A379" s="1">
        <v>44994</v>
      </c>
      <c r="B379" t="s">
        <v>410</v>
      </c>
      <c r="C379" t="s">
        <v>16</v>
      </c>
      <c r="D379">
        <v>46</v>
      </c>
      <c r="E379" t="s">
        <v>17</v>
      </c>
      <c r="F379">
        <v>4</v>
      </c>
      <c r="G379">
        <v>50</v>
      </c>
      <c r="H379">
        <v>200</v>
      </c>
      <c r="I379" t="s">
        <v>32</v>
      </c>
      <c r="J379" t="s">
        <v>58</v>
      </c>
    </row>
    <row r="380" spans="1:10" x14ac:dyDescent="0.25">
      <c r="A380" s="1">
        <v>45105</v>
      </c>
      <c r="B380" t="s">
        <v>411</v>
      </c>
      <c r="C380" t="s">
        <v>11</v>
      </c>
      <c r="D380">
        <v>50</v>
      </c>
      <c r="E380" t="s">
        <v>12</v>
      </c>
      <c r="F380">
        <v>1</v>
      </c>
      <c r="G380">
        <v>300</v>
      </c>
      <c r="H380">
        <v>300</v>
      </c>
      <c r="I380" t="s">
        <v>68</v>
      </c>
      <c r="J380" t="s">
        <v>34</v>
      </c>
    </row>
    <row r="381" spans="1:10" x14ac:dyDescent="0.25">
      <c r="A381" s="1">
        <v>44962</v>
      </c>
      <c r="B381" t="s">
        <v>412</v>
      </c>
      <c r="C381" t="s">
        <v>16</v>
      </c>
      <c r="D381">
        <v>47</v>
      </c>
      <c r="E381" t="s">
        <v>17</v>
      </c>
      <c r="F381">
        <v>1</v>
      </c>
      <c r="G381">
        <v>25</v>
      </c>
      <c r="H381">
        <v>25</v>
      </c>
      <c r="I381" t="s">
        <v>18</v>
      </c>
      <c r="J381" t="s">
        <v>25</v>
      </c>
    </row>
    <row r="382" spans="1:10" x14ac:dyDescent="0.25">
      <c r="A382" s="1">
        <v>45052</v>
      </c>
      <c r="B382" t="s">
        <v>413</v>
      </c>
      <c r="C382" t="s">
        <v>11</v>
      </c>
      <c r="D382">
        <v>56</v>
      </c>
      <c r="E382" t="s">
        <v>21</v>
      </c>
      <c r="F382">
        <v>2</v>
      </c>
      <c r="G382">
        <v>300</v>
      </c>
      <c r="H382">
        <v>600</v>
      </c>
      <c r="I382" t="s">
        <v>24</v>
      </c>
      <c r="J382" t="s">
        <v>27</v>
      </c>
    </row>
    <row r="383" spans="1:10" x14ac:dyDescent="0.25">
      <c r="A383" s="1">
        <v>45116</v>
      </c>
      <c r="B383" t="s">
        <v>414</v>
      </c>
      <c r="C383" t="s">
        <v>16</v>
      </c>
      <c r="D383">
        <v>44</v>
      </c>
      <c r="E383" t="s">
        <v>17</v>
      </c>
      <c r="F383">
        <v>4</v>
      </c>
      <c r="G383">
        <v>25</v>
      </c>
      <c r="H383">
        <v>100</v>
      </c>
      <c r="I383" t="s">
        <v>76</v>
      </c>
      <c r="J383" t="s">
        <v>25</v>
      </c>
    </row>
    <row r="384" spans="1:10" x14ac:dyDescent="0.25">
      <c r="A384" s="1">
        <v>45072</v>
      </c>
      <c r="B384" t="s">
        <v>415</v>
      </c>
      <c r="C384" t="s">
        <v>16</v>
      </c>
      <c r="D384">
        <v>53</v>
      </c>
      <c r="E384" t="s">
        <v>17</v>
      </c>
      <c r="F384">
        <v>2</v>
      </c>
      <c r="G384">
        <v>500</v>
      </c>
      <c r="H384">
        <v>1000</v>
      </c>
      <c r="I384" t="s">
        <v>24</v>
      </c>
      <c r="J384" t="s">
        <v>14</v>
      </c>
    </row>
    <row r="385" spans="1:10" x14ac:dyDescent="0.25">
      <c r="A385" s="1">
        <v>45007</v>
      </c>
      <c r="B385" t="s">
        <v>416</v>
      </c>
      <c r="C385" t="s">
        <v>16</v>
      </c>
      <c r="D385">
        <v>46</v>
      </c>
      <c r="E385" t="s">
        <v>12</v>
      </c>
      <c r="F385">
        <v>3</v>
      </c>
      <c r="G385">
        <v>30</v>
      </c>
      <c r="H385">
        <v>90</v>
      </c>
      <c r="I385" t="s">
        <v>32</v>
      </c>
      <c r="J385" t="s">
        <v>34</v>
      </c>
    </row>
    <row r="386" spans="1:10" x14ac:dyDescent="0.25">
      <c r="A386" s="1">
        <v>45151</v>
      </c>
      <c r="B386" t="s">
        <v>417</v>
      </c>
      <c r="C386" t="s">
        <v>11</v>
      </c>
      <c r="D386">
        <v>55</v>
      </c>
      <c r="E386" t="s">
        <v>17</v>
      </c>
      <c r="F386">
        <v>1</v>
      </c>
      <c r="G386">
        <v>500</v>
      </c>
      <c r="H386">
        <v>500</v>
      </c>
      <c r="I386" t="s">
        <v>42</v>
      </c>
      <c r="J386" t="s">
        <v>25</v>
      </c>
    </row>
    <row r="387" spans="1:10" x14ac:dyDescent="0.25">
      <c r="A387" s="1">
        <v>45205</v>
      </c>
      <c r="B387" t="s">
        <v>418</v>
      </c>
      <c r="C387" t="s">
        <v>11</v>
      </c>
      <c r="D387">
        <v>50</v>
      </c>
      <c r="E387" t="s">
        <v>21</v>
      </c>
      <c r="F387">
        <v>3</v>
      </c>
      <c r="G387">
        <v>500</v>
      </c>
      <c r="H387">
        <v>1500</v>
      </c>
      <c r="I387" t="s">
        <v>38</v>
      </c>
      <c r="J387" t="s">
        <v>14</v>
      </c>
    </row>
    <row r="388" spans="1:10" x14ac:dyDescent="0.25">
      <c r="A388" s="1">
        <v>45287</v>
      </c>
      <c r="B388" t="s">
        <v>419</v>
      </c>
      <c r="C388" t="s">
        <v>16</v>
      </c>
      <c r="D388">
        <v>54</v>
      </c>
      <c r="E388" t="s">
        <v>21</v>
      </c>
      <c r="F388">
        <v>2</v>
      </c>
      <c r="G388">
        <v>300</v>
      </c>
      <c r="H388">
        <v>600</v>
      </c>
      <c r="I388" t="s">
        <v>36</v>
      </c>
      <c r="J388" t="s">
        <v>34</v>
      </c>
    </row>
    <row r="389" spans="1:10" x14ac:dyDescent="0.25">
      <c r="A389" s="1">
        <v>45081</v>
      </c>
      <c r="B389" t="s">
        <v>420</v>
      </c>
      <c r="C389" t="s">
        <v>11</v>
      </c>
      <c r="D389">
        <v>44</v>
      </c>
      <c r="E389" t="s">
        <v>12</v>
      </c>
      <c r="F389">
        <v>1</v>
      </c>
      <c r="G389">
        <v>30</v>
      </c>
      <c r="H389">
        <v>30</v>
      </c>
      <c r="I389" t="s">
        <v>68</v>
      </c>
      <c r="J389" t="s">
        <v>25</v>
      </c>
    </row>
    <row r="390" spans="1:10" x14ac:dyDescent="0.25">
      <c r="A390" s="1">
        <v>45240</v>
      </c>
      <c r="B390" t="s">
        <v>421</v>
      </c>
      <c r="C390" t="s">
        <v>11</v>
      </c>
      <c r="D390">
        <v>50</v>
      </c>
      <c r="E390" t="s">
        <v>21</v>
      </c>
      <c r="F390">
        <v>1</v>
      </c>
      <c r="G390">
        <v>25</v>
      </c>
      <c r="H390">
        <v>25</v>
      </c>
      <c r="I390" t="s">
        <v>13</v>
      </c>
      <c r="J390" t="s">
        <v>14</v>
      </c>
    </row>
    <row r="391" spans="1:10" x14ac:dyDescent="0.25">
      <c r="A391" s="1">
        <v>45261</v>
      </c>
      <c r="B391" t="s">
        <v>422</v>
      </c>
      <c r="C391" t="s">
        <v>11</v>
      </c>
      <c r="D391">
        <v>21</v>
      </c>
      <c r="E391" t="s">
        <v>17</v>
      </c>
      <c r="F391">
        <v>2</v>
      </c>
      <c r="G391">
        <v>25</v>
      </c>
      <c r="H391">
        <v>50</v>
      </c>
      <c r="I391" t="s">
        <v>36</v>
      </c>
      <c r="J391" t="s">
        <v>14</v>
      </c>
    </row>
    <row r="392" spans="1:10" x14ac:dyDescent="0.25">
      <c r="A392" s="1">
        <v>45197</v>
      </c>
      <c r="B392" t="s">
        <v>423</v>
      </c>
      <c r="C392" t="s">
        <v>11</v>
      </c>
      <c r="D392">
        <v>39</v>
      </c>
      <c r="E392" t="s">
        <v>21</v>
      </c>
      <c r="F392">
        <v>2</v>
      </c>
      <c r="G392">
        <v>50</v>
      </c>
      <c r="H392">
        <v>100</v>
      </c>
      <c r="I392" t="s">
        <v>49</v>
      </c>
      <c r="J392" t="s">
        <v>58</v>
      </c>
    </row>
    <row r="393" spans="1:10" x14ac:dyDescent="0.25">
      <c r="A393" s="1">
        <v>44931</v>
      </c>
      <c r="B393" t="s">
        <v>424</v>
      </c>
      <c r="C393" t="s">
        <v>11</v>
      </c>
      <c r="D393">
        <v>19</v>
      </c>
      <c r="E393" t="s">
        <v>12</v>
      </c>
      <c r="F393">
        <v>2</v>
      </c>
      <c r="G393">
        <v>25</v>
      </c>
      <c r="H393">
        <v>50</v>
      </c>
      <c r="I393" t="s">
        <v>22</v>
      </c>
      <c r="J393" t="s">
        <v>58</v>
      </c>
    </row>
    <row r="394" spans="1:10" x14ac:dyDescent="0.25">
      <c r="A394" s="1">
        <v>45268</v>
      </c>
      <c r="B394" t="s">
        <v>425</v>
      </c>
      <c r="C394" t="s">
        <v>11</v>
      </c>
      <c r="D394">
        <v>27</v>
      </c>
      <c r="E394" t="s">
        <v>17</v>
      </c>
      <c r="F394">
        <v>2</v>
      </c>
      <c r="G394">
        <v>300</v>
      </c>
      <c r="H394">
        <v>600</v>
      </c>
      <c r="I394" t="s">
        <v>36</v>
      </c>
      <c r="J394" t="s">
        <v>14</v>
      </c>
    </row>
    <row r="395" spans="1:10" x14ac:dyDescent="0.25">
      <c r="A395" s="1">
        <v>45210</v>
      </c>
      <c r="B395" t="s">
        <v>426</v>
      </c>
      <c r="C395" t="s">
        <v>16</v>
      </c>
      <c r="D395">
        <v>22</v>
      </c>
      <c r="E395" t="s">
        <v>12</v>
      </c>
      <c r="F395">
        <v>2</v>
      </c>
      <c r="G395">
        <v>500</v>
      </c>
      <c r="H395">
        <v>1000</v>
      </c>
      <c r="I395" t="s">
        <v>38</v>
      </c>
      <c r="J395" t="s">
        <v>34</v>
      </c>
    </row>
    <row r="396" spans="1:10" x14ac:dyDescent="0.25">
      <c r="A396" s="1">
        <v>45080</v>
      </c>
      <c r="B396" t="s">
        <v>427</v>
      </c>
      <c r="C396" t="s">
        <v>16</v>
      </c>
      <c r="D396">
        <v>27</v>
      </c>
      <c r="E396" t="s">
        <v>17</v>
      </c>
      <c r="F396">
        <v>1</v>
      </c>
      <c r="G396">
        <v>500</v>
      </c>
      <c r="H396">
        <v>500</v>
      </c>
      <c r="I396" t="s">
        <v>68</v>
      </c>
      <c r="J396" t="s">
        <v>27</v>
      </c>
    </row>
    <row r="397" spans="1:10" x14ac:dyDescent="0.25">
      <c r="A397" s="1">
        <v>45266</v>
      </c>
      <c r="B397" t="s">
        <v>428</v>
      </c>
      <c r="C397" t="s">
        <v>11</v>
      </c>
      <c r="D397">
        <v>50</v>
      </c>
      <c r="E397" t="s">
        <v>21</v>
      </c>
      <c r="F397">
        <v>2</v>
      </c>
      <c r="G397">
        <v>500</v>
      </c>
      <c r="H397">
        <v>1000</v>
      </c>
      <c r="I397" t="s">
        <v>36</v>
      </c>
      <c r="J397" t="s">
        <v>34</v>
      </c>
    </row>
    <row r="398" spans="1:10" x14ac:dyDescent="0.25">
      <c r="A398" s="1">
        <v>44980</v>
      </c>
      <c r="B398" t="s">
        <v>429</v>
      </c>
      <c r="C398" t="s">
        <v>16</v>
      </c>
      <c r="D398">
        <v>55</v>
      </c>
      <c r="E398" t="s">
        <v>12</v>
      </c>
      <c r="F398">
        <v>1</v>
      </c>
      <c r="G398">
        <v>30</v>
      </c>
      <c r="H398">
        <v>30</v>
      </c>
      <c r="I398" t="s">
        <v>18</v>
      </c>
      <c r="J398" t="s">
        <v>58</v>
      </c>
    </row>
    <row r="399" spans="1:10" x14ac:dyDescent="0.25">
      <c r="A399" s="1">
        <v>44995</v>
      </c>
      <c r="B399" t="s">
        <v>430</v>
      </c>
      <c r="C399" t="s">
        <v>16</v>
      </c>
      <c r="D399">
        <v>30</v>
      </c>
      <c r="E399" t="s">
        <v>12</v>
      </c>
      <c r="F399">
        <v>1</v>
      </c>
      <c r="G399">
        <v>25</v>
      </c>
      <c r="H399">
        <v>25</v>
      </c>
      <c r="I399" t="s">
        <v>32</v>
      </c>
      <c r="J399" t="s">
        <v>14</v>
      </c>
    </row>
    <row r="400" spans="1:10" x14ac:dyDescent="0.25">
      <c r="A400" s="1">
        <v>45062</v>
      </c>
      <c r="B400" t="s">
        <v>431</v>
      </c>
      <c r="C400" t="s">
        <v>16</v>
      </c>
      <c r="D400">
        <v>48</v>
      </c>
      <c r="E400" t="s">
        <v>17</v>
      </c>
      <c r="F400">
        <v>2</v>
      </c>
      <c r="G400">
        <v>300</v>
      </c>
      <c r="H400">
        <v>600</v>
      </c>
      <c r="I400" t="s">
        <v>24</v>
      </c>
      <c r="J400" t="s">
        <v>30</v>
      </c>
    </row>
    <row r="401" spans="1:10" x14ac:dyDescent="0.25">
      <c r="A401" s="1">
        <v>44986</v>
      </c>
      <c r="B401" t="s">
        <v>432</v>
      </c>
      <c r="C401" t="s">
        <v>16</v>
      </c>
      <c r="D401">
        <v>64</v>
      </c>
      <c r="E401" t="s">
        <v>12</v>
      </c>
      <c r="F401">
        <v>2</v>
      </c>
      <c r="G401">
        <v>30</v>
      </c>
      <c r="H401">
        <v>60</v>
      </c>
      <c r="I401" t="s">
        <v>32</v>
      </c>
      <c r="J401" t="s">
        <v>34</v>
      </c>
    </row>
    <row r="402" spans="1:10" x14ac:dyDescent="0.25">
      <c r="A402" s="1">
        <v>44981</v>
      </c>
      <c r="B402" t="s">
        <v>433</v>
      </c>
      <c r="C402" t="s">
        <v>11</v>
      </c>
      <c r="D402">
        <v>53</v>
      </c>
      <c r="E402" t="s">
        <v>17</v>
      </c>
      <c r="F402">
        <v>4</v>
      </c>
      <c r="G402">
        <v>50</v>
      </c>
      <c r="H402">
        <v>200</v>
      </c>
      <c r="I402" t="s">
        <v>18</v>
      </c>
      <c r="J402" t="s">
        <v>14</v>
      </c>
    </row>
    <row r="403" spans="1:10" x14ac:dyDescent="0.25">
      <c r="A403" s="1">
        <v>45210</v>
      </c>
      <c r="B403" t="s">
        <v>434</v>
      </c>
      <c r="C403" t="s">
        <v>16</v>
      </c>
      <c r="D403">
        <v>62</v>
      </c>
      <c r="E403" t="s">
        <v>17</v>
      </c>
      <c r="F403">
        <v>1</v>
      </c>
      <c r="G403">
        <v>300</v>
      </c>
      <c r="H403">
        <v>300</v>
      </c>
      <c r="I403" t="s">
        <v>38</v>
      </c>
      <c r="J403" t="s">
        <v>34</v>
      </c>
    </row>
    <row r="404" spans="1:10" x14ac:dyDescent="0.25">
      <c r="A404" s="1">
        <v>45006</v>
      </c>
      <c r="B404" t="s">
        <v>435</v>
      </c>
      <c r="C404" t="s">
        <v>16</v>
      </c>
      <c r="D404">
        <v>41</v>
      </c>
      <c r="E404" t="s">
        <v>17</v>
      </c>
      <c r="F404">
        <v>2</v>
      </c>
      <c r="G404">
        <v>300</v>
      </c>
      <c r="H404">
        <v>600</v>
      </c>
      <c r="I404" t="s">
        <v>32</v>
      </c>
      <c r="J404" t="s">
        <v>30</v>
      </c>
    </row>
    <row r="405" spans="1:10" x14ac:dyDescent="0.25">
      <c r="A405" s="1">
        <v>45066</v>
      </c>
      <c r="B405" t="s">
        <v>436</v>
      </c>
      <c r="C405" t="s">
        <v>11</v>
      </c>
      <c r="D405">
        <v>32</v>
      </c>
      <c r="E405" t="s">
        <v>17</v>
      </c>
      <c r="F405">
        <v>2</v>
      </c>
      <c r="G405">
        <v>300</v>
      </c>
      <c r="H405">
        <v>600</v>
      </c>
      <c r="I405" t="s">
        <v>24</v>
      </c>
      <c r="J405" t="s">
        <v>27</v>
      </c>
    </row>
    <row r="406" spans="1:10" x14ac:dyDescent="0.25">
      <c r="A406" s="1">
        <v>45071</v>
      </c>
      <c r="B406" t="s">
        <v>437</v>
      </c>
      <c r="C406" t="s">
        <v>11</v>
      </c>
      <c r="D406">
        <v>46</v>
      </c>
      <c r="E406" t="s">
        <v>21</v>
      </c>
      <c r="F406">
        <v>2</v>
      </c>
      <c r="G406">
        <v>500</v>
      </c>
      <c r="H406">
        <v>1000</v>
      </c>
      <c r="I406" t="s">
        <v>24</v>
      </c>
      <c r="J406" t="s">
        <v>58</v>
      </c>
    </row>
    <row r="407" spans="1:10" x14ac:dyDescent="0.25">
      <c r="A407" s="1">
        <v>45236</v>
      </c>
      <c r="B407" t="s">
        <v>438</v>
      </c>
      <c r="C407" t="s">
        <v>16</v>
      </c>
      <c r="D407">
        <v>25</v>
      </c>
      <c r="E407" t="s">
        <v>17</v>
      </c>
      <c r="F407">
        <v>4</v>
      </c>
      <c r="G407">
        <v>300</v>
      </c>
      <c r="H407">
        <v>1200</v>
      </c>
      <c r="I407" t="s">
        <v>13</v>
      </c>
      <c r="J407" t="s">
        <v>19</v>
      </c>
    </row>
    <row r="408" spans="1:10" x14ac:dyDescent="0.25">
      <c r="A408" s="1">
        <v>45034</v>
      </c>
      <c r="B408" t="s">
        <v>439</v>
      </c>
      <c r="C408" t="s">
        <v>16</v>
      </c>
      <c r="D408">
        <v>22</v>
      </c>
      <c r="E408" t="s">
        <v>12</v>
      </c>
      <c r="F408">
        <v>4</v>
      </c>
      <c r="G408">
        <v>25</v>
      </c>
      <c r="H408">
        <v>100</v>
      </c>
      <c r="I408" t="s">
        <v>29</v>
      </c>
      <c r="J408" t="s">
        <v>30</v>
      </c>
    </row>
    <row r="409" spans="1:10" x14ac:dyDescent="0.25">
      <c r="A409" s="1">
        <v>45102</v>
      </c>
      <c r="B409" t="s">
        <v>440</v>
      </c>
      <c r="C409" t="s">
        <v>16</v>
      </c>
      <c r="D409">
        <v>46</v>
      </c>
      <c r="E409" t="s">
        <v>21</v>
      </c>
      <c r="F409">
        <v>3</v>
      </c>
      <c r="G409">
        <v>300</v>
      </c>
      <c r="H409">
        <v>900</v>
      </c>
      <c r="I409" t="s">
        <v>68</v>
      </c>
      <c r="J409" t="s">
        <v>25</v>
      </c>
    </row>
    <row r="410" spans="1:10" x14ac:dyDescent="0.25">
      <c r="A410" s="1">
        <v>45031</v>
      </c>
      <c r="B410" t="s">
        <v>441</v>
      </c>
      <c r="C410" t="s">
        <v>16</v>
      </c>
      <c r="D410">
        <v>64</v>
      </c>
      <c r="E410" t="s">
        <v>12</v>
      </c>
      <c r="F410">
        <v>1</v>
      </c>
      <c r="G410">
        <v>500</v>
      </c>
      <c r="H410">
        <v>500</v>
      </c>
      <c r="I410" t="s">
        <v>29</v>
      </c>
      <c r="J410" t="s">
        <v>27</v>
      </c>
    </row>
    <row r="411" spans="1:10" x14ac:dyDescent="0.25">
      <c r="A411" s="1">
        <v>45278</v>
      </c>
      <c r="B411" t="s">
        <v>442</v>
      </c>
      <c r="C411" t="s">
        <v>16</v>
      </c>
      <c r="D411">
        <v>21</v>
      </c>
      <c r="E411" t="s">
        <v>21</v>
      </c>
      <c r="F411">
        <v>3</v>
      </c>
      <c r="G411">
        <v>300</v>
      </c>
      <c r="H411">
        <v>900</v>
      </c>
      <c r="I411" t="s">
        <v>36</v>
      </c>
      <c r="J411" t="s">
        <v>19</v>
      </c>
    </row>
    <row r="412" spans="1:10" x14ac:dyDescent="0.25">
      <c r="A412" s="1">
        <v>45251</v>
      </c>
      <c r="B412" t="s">
        <v>443</v>
      </c>
      <c r="C412" t="s">
        <v>16</v>
      </c>
      <c r="D412">
        <v>29</v>
      </c>
      <c r="E412" t="s">
        <v>17</v>
      </c>
      <c r="F412">
        <v>2</v>
      </c>
      <c r="G412">
        <v>50</v>
      </c>
      <c r="H412">
        <v>100</v>
      </c>
      <c r="I412" t="s">
        <v>13</v>
      </c>
      <c r="J412" t="s">
        <v>30</v>
      </c>
    </row>
    <row r="413" spans="1:10" x14ac:dyDescent="0.25">
      <c r="A413" s="1">
        <v>45062</v>
      </c>
      <c r="B413" t="s">
        <v>444</v>
      </c>
      <c r="C413" t="s">
        <v>11</v>
      </c>
      <c r="D413">
        <v>62</v>
      </c>
      <c r="E413" t="s">
        <v>21</v>
      </c>
      <c r="F413">
        <v>4</v>
      </c>
      <c r="G413">
        <v>50</v>
      </c>
      <c r="H413">
        <v>200</v>
      </c>
      <c r="I413" t="s">
        <v>24</v>
      </c>
      <c r="J413" t="s">
        <v>30</v>
      </c>
    </row>
    <row r="414" spans="1:10" x14ac:dyDescent="0.25">
      <c r="A414" s="1">
        <v>45185</v>
      </c>
      <c r="B414" t="s">
        <v>445</v>
      </c>
      <c r="C414" t="s">
        <v>16</v>
      </c>
      <c r="D414">
        <v>19</v>
      </c>
      <c r="E414" t="s">
        <v>21</v>
      </c>
      <c r="F414">
        <v>4</v>
      </c>
      <c r="G414">
        <v>500</v>
      </c>
      <c r="H414">
        <v>2000</v>
      </c>
      <c r="I414" t="s">
        <v>49</v>
      </c>
      <c r="J414" t="s">
        <v>27</v>
      </c>
    </row>
    <row r="415" spans="1:10" x14ac:dyDescent="0.25">
      <c r="A415" s="1">
        <v>45177</v>
      </c>
      <c r="B415" t="s">
        <v>446</v>
      </c>
      <c r="C415" t="s">
        <v>16</v>
      </c>
      <c r="D415">
        <v>44</v>
      </c>
      <c r="E415" t="s">
        <v>12</v>
      </c>
      <c r="F415">
        <v>3</v>
      </c>
      <c r="G415">
        <v>25</v>
      </c>
      <c r="H415">
        <v>75</v>
      </c>
      <c r="I415" t="s">
        <v>49</v>
      </c>
      <c r="J415" t="s">
        <v>14</v>
      </c>
    </row>
    <row r="416" spans="1:10" x14ac:dyDescent="0.25">
      <c r="A416" s="1">
        <v>45055</v>
      </c>
      <c r="B416" t="s">
        <v>447</v>
      </c>
      <c r="C416" t="s">
        <v>11</v>
      </c>
      <c r="D416">
        <v>48</v>
      </c>
      <c r="E416" t="s">
        <v>12</v>
      </c>
      <c r="F416">
        <v>4</v>
      </c>
      <c r="G416">
        <v>25</v>
      </c>
      <c r="H416">
        <v>100</v>
      </c>
      <c r="I416" t="s">
        <v>24</v>
      </c>
      <c r="J416" t="s">
        <v>30</v>
      </c>
    </row>
    <row r="417" spans="1:10" x14ac:dyDescent="0.25">
      <c r="A417" s="1">
        <v>44953</v>
      </c>
      <c r="B417" t="s">
        <v>448</v>
      </c>
      <c r="C417" t="s">
        <v>11</v>
      </c>
      <c r="D417">
        <v>53</v>
      </c>
      <c r="E417" t="s">
        <v>17</v>
      </c>
      <c r="F417">
        <v>2</v>
      </c>
      <c r="G417">
        <v>30</v>
      </c>
      <c r="H417">
        <v>60</v>
      </c>
      <c r="I417" t="s">
        <v>22</v>
      </c>
      <c r="J417" t="s">
        <v>14</v>
      </c>
    </row>
    <row r="418" spans="1:10" x14ac:dyDescent="0.25">
      <c r="A418" s="1">
        <v>44974</v>
      </c>
      <c r="B418" t="s">
        <v>449</v>
      </c>
      <c r="C418" t="s">
        <v>11</v>
      </c>
      <c r="D418">
        <v>53</v>
      </c>
      <c r="E418" t="s">
        <v>21</v>
      </c>
      <c r="F418">
        <v>4</v>
      </c>
      <c r="G418">
        <v>500</v>
      </c>
      <c r="H418">
        <v>2000</v>
      </c>
      <c r="I418" t="s">
        <v>18</v>
      </c>
      <c r="J418" t="s">
        <v>14</v>
      </c>
    </row>
    <row r="419" spans="1:10" x14ac:dyDescent="0.25">
      <c r="A419" s="1">
        <v>45251</v>
      </c>
      <c r="B419" t="s">
        <v>450</v>
      </c>
      <c r="C419" t="s">
        <v>11</v>
      </c>
      <c r="D419">
        <v>43</v>
      </c>
      <c r="E419" t="s">
        <v>21</v>
      </c>
      <c r="F419">
        <v>3</v>
      </c>
      <c r="G419">
        <v>300</v>
      </c>
      <c r="H419">
        <v>900</v>
      </c>
      <c r="I419" t="s">
        <v>13</v>
      </c>
      <c r="J419" t="s">
        <v>30</v>
      </c>
    </row>
    <row r="420" spans="1:10" x14ac:dyDescent="0.25">
      <c r="A420" s="1">
        <v>45143</v>
      </c>
      <c r="B420" t="s">
        <v>451</v>
      </c>
      <c r="C420" t="s">
        <v>16</v>
      </c>
      <c r="D420">
        <v>60</v>
      </c>
      <c r="E420" t="s">
        <v>21</v>
      </c>
      <c r="F420">
        <v>2</v>
      </c>
      <c r="G420">
        <v>500</v>
      </c>
      <c r="H420">
        <v>1000</v>
      </c>
      <c r="I420" t="s">
        <v>42</v>
      </c>
      <c r="J420" t="s">
        <v>27</v>
      </c>
    </row>
    <row r="421" spans="1:10" x14ac:dyDescent="0.25">
      <c r="A421" s="1">
        <v>45068</v>
      </c>
      <c r="B421" t="s">
        <v>452</v>
      </c>
      <c r="C421" t="s">
        <v>16</v>
      </c>
      <c r="D421">
        <v>44</v>
      </c>
      <c r="E421" t="s">
        <v>17</v>
      </c>
      <c r="F421">
        <v>3</v>
      </c>
      <c r="G421">
        <v>30</v>
      </c>
      <c r="H421">
        <v>90</v>
      </c>
      <c r="I421" t="s">
        <v>24</v>
      </c>
      <c r="J421" t="s">
        <v>19</v>
      </c>
    </row>
    <row r="422" spans="1:10" x14ac:dyDescent="0.25">
      <c r="A422" s="1">
        <v>44949</v>
      </c>
      <c r="B422" t="s">
        <v>453</v>
      </c>
      <c r="C422" t="s">
        <v>16</v>
      </c>
      <c r="D422">
        <v>22</v>
      </c>
      <c r="E422" t="s">
        <v>17</v>
      </c>
      <c r="F422">
        <v>4</v>
      </c>
      <c r="G422">
        <v>500</v>
      </c>
      <c r="H422">
        <v>2000</v>
      </c>
      <c r="I422" t="s">
        <v>22</v>
      </c>
      <c r="J422" t="s">
        <v>19</v>
      </c>
    </row>
    <row r="423" spans="1:10" x14ac:dyDescent="0.25">
      <c r="A423" s="1">
        <v>44928</v>
      </c>
      <c r="B423" t="s">
        <v>454</v>
      </c>
      <c r="C423" t="s">
        <v>16</v>
      </c>
      <c r="D423">
        <v>37</v>
      </c>
      <c r="E423" t="s">
        <v>17</v>
      </c>
      <c r="F423">
        <v>3</v>
      </c>
      <c r="G423">
        <v>500</v>
      </c>
      <c r="H423">
        <v>1500</v>
      </c>
      <c r="I423" t="s">
        <v>22</v>
      </c>
      <c r="J423" t="s">
        <v>19</v>
      </c>
    </row>
    <row r="424" spans="1:10" x14ac:dyDescent="0.25">
      <c r="A424" s="1">
        <v>45097</v>
      </c>
      <c r="B424" t="s">
        <v>455</v>
      </c>
      <c r="C424" t="s">
        <v>16</v>
      </c>
      <c r="D424">
        <v>28</v>
      </c>
      <c r="E424" t="s">
        <v>17</v>
      </c>
      <c r="F424">
        <v>3</v>
      </c>
      <c r="G424">
        <v>30</v>
      </c>
      <c r="H424">
        <v>90</v>
      </c>
      <c r="I424" t="s">
        <v>68</v>
      </c>
      <c r="J424" t="s">
        <v>30</v>
      </c>
    </row>
    <row r="425" spans="1:10" x14ac:dyDescent="0.25">
      <c r="A425" s="1">
        <v>44993</v>
      </c>
      <c r="B425" t="s">
        <v>456</v>
      </c>
      <c r="C425" t="s">
        <v>16</v>
      </c>
      <c r="D425">
        <v>27</v>
      </c>
      <c r="E425" t="s">
        <v>17</v>
      </c>
      <c r="F425">
        <v>1</v>
      </c>
      <c r="G425">
        <v>25</v>
      </c>
      <c r="H425">
        <v>25</v>
      </c>
      <c r="I425" t="s">
        <v>32</v>
      </c>
      <c r="J425" t="s">
        <v>34</v>
      </c>
    </row>
    <row r="426" spans="1:10" x14ac:dyDescent="0.25">
      <c r="A426" s="1">
        <v>45253</v>
      </c>
      <c r="B426" t="s">
        <v>457</v>
      </c>
      <c r="C426" t="s">
        <v>11</v>
      </c>
      <c r="D426">
        <v>57</v>
      </c>
      <c r="E426" t="s">
        <v>12</v>
      </c>
      <c r="F426">
        <v>4</v>
      </c>
      <c r="G426">
        <v>300</v>
      </c>
      <c r="H426">
        <v>1200</v>
      </c>
      <c r="I426" t="s">
        <v>13</v>
      </c>
      <c r="J426" t="s">
        <v>58</v>
      </c>
    </row>
    <row r="427" spans="1:10" x14ac:dyDescent="0.25">
      <c r="A427" s="1">
        <v>45061</v>
      </c>
      <c r="B427" t="s">
        <v>458</v>
      </c>
      <c r="C427" t="s">
        <v>16</v>
      </c>
      <c r="D427">
        <v>55</v>
      </c>
      <c r="E427" t="s">
        <v>21</v>
      </c>
      <c r="F427">
        <v>4</v>
      </c>
      <c r="G427">
        <v>30</v>
      </c>
      <c r="H427">
        <v>120</v>
      </c>
      <c r="I427" t="s">
        <v>24</v>
      </c>
      <c r="J427" t="s">
        <v>19</v>
      </c>
    </row>
    <row r="428" spans="1:10" x14ac:dyDescent="0.25">
      <c r="A428" s="1">
        <v>45009</v>
      </c>
      <c r="B428" t="s">
        <v>459</v>
      </c>
      <c r="C428" t="s">
        <v>11</v>
      </c>
      <c r="D428">
        <v>23</v>
      </c>
      <c r="E428" t="s">
        <v>21</v>
      </c>
      <c r="F428">
        <v>3</v>
      </c>
      <c r="G428">
        <v>50</v>
      </c>
      <c r="H428">
        <v>150</v>
      </c>
      <c r="I428" t="s">
        <v>32</v>
      </c>
      <c r="J428" t="s">
        <v>14</v>
      </c>
    </row>
    <row r="429" spans="1:10" x14ac:dyDescent="0.25">
      <c r="A429" s="1">
        <v>45153</v>
      </c>
      <c r="B429" t="s">
        <v>460</v>
      </c>
      <c r="C429" t="s">
        <v>11</v>
      </c>
      <c r="D429">
        <v>25</v>
      </c>
      <c r="E429" t="s">
        <v>21</v>
      </c>
      <c r="F429">
        <v>1</v>
      </c>
      <c r="G429">
        <v>25</v>
      </c>
      <c r="H429">
        <v>25</v>
      </c>
      <c r="I429" t="s">
        <v>42</v>
      </c>
      <c r="J429" t="s">
        <v>30</v>
      </c>
    </row>
    <row r="430" spans="1:10" x14ac:dyDescent="0.25">
      <c r="A430" s="1">
        <v>45209</v>
      </c>
      <c r="B430" t="s">
        <v>461</v>
      </c>
      <c r="C430" t="s">
        <v>16</v>
      </c>
      <c r="D430">
        <v>40</v>
      </c>
      <c r="E430" t="s">
        <v>21</v>
      </c>
      <c r="F430">
        <v>4</v>
      </c>
      <c r="G430">
        <v>50</v>
      </c>
      <c r="H430">
        <v>200</v>
      </c>
      <c r="I430" t="s">
        <v>38</v>
      </c>
      <c r="J430" t="s">
        <v>30</v>
      </c>
    </row>
    <row r="431" spans="1:10" x14ac:dyDescent="0.25">
      <c r="A431" s="1">
        <v>45288</v>
      </c>
      <c r="B431" t="s">
        <v>462</v>
      </c>
      <c r="C431" t="s">
        <v>11</v>
      </c>
      <c r="D431">
        <v>64</v>
      </c>
      <c r="E431" t="s">
        <v>21</v>
      </c>
      <c r="F431">
        <v>2</v>
      </c>
      <c r="G431">
        <v>25</v>
      </c>
      <c r="H431">
        <v>50</v>
      </c>
      <c r="I431" t="s">
        <v>36</v>
      </c>
      <c r="J431" t="s">
        <v>58</v>
      </c>
    </row>
    <row r="432" spans="1:10" x14ac:dyDescent="0.25">
      <c r="A432" s="1">
        <v>45145</v>
      </c>
      <c r="B432" t="s">
        <v>463</v>
      </c>
      <c r="C432" t="s">
        <v>16</v>
      </c>
      <c r="D432">
        <v>43</v>
      </c>
      <c r="E432" t="s">
        <v>21</v>
      </c>
      <c r="F432">
        <v>3</v>
      </c>
      <c r="G432">
        <v>300</v>
      </c>
      <c r="H432">
        <v>900</v>
      </c>
      <c r="I432" t="s">
        <v>42</v>
      </c>
      <c r="J432" t="s">
        <v>19</v>
      </c>
    </row>
    <row r="433" spans="1:10" x14ac:dyDescent="0.25">
      <c r="A433" s="1">
        <v>45214</v>
      </c>
      <c r="B433" t="s">
        <v>464</v>
      </c>
      <c r="C433" t="s">
        <v>11</v>
      </c>
      <c r="D433">
        <v>63</v>
      </c>
      <c r="E433" t="s">
        <v>21</v>
      </c>
      <c r="F433">
        <v>4</v>
      </c>
      <c r="G433">
        <v>300</v>
      </c>
      <c r="H433">
        <v>1200</v>
      </c>
      <c r="I433" t="s">
        <v>38</v>
      </c>
      <c r="J433" t="s">
        <v>25</v>
      </c>
    </row>
    <row r="434" spans="1:10" x14ac:dyDescent="0.25">
      <c r="A434" s="1">
        <v>44931</v>
      </c>
      <c r="B434" t="s">
        <v>465</v>
      </c>
      <c r="C434" t="s">
        <v>16</v>
      </c>
      <c r="D434">
        <v>60</v>
      </c>
      <c r="E434" t="s">
        <v>21</v>
      </c>
      <c r="F434">
        <v>2</v>
      </c>
      <c r="G434">
        <v>500</v>
      </c>
      <c r="H434">
        <v>1000</v>
      </c>
      <c r="I434" t="s">
        <v>22</v>
      </c>
      <c r="J434" t="s">
        <v>58</v>
      </c>
    </row>
    <row r="435" spans="1:10" x14ac:dyDescent="0.25">
      <c r="A435" s="1">
        <v>44984</v>
      </c>
      <c r="B435" t="s">
        <v>466</v>
      </c>
      <c r="C435" t="s">
        <v>11</v>
      </c>
      <c r="D435">
        <v>29</v>
      </c>
      <c r="E435" t="s">
        <v>12</v>
      </c>
      <c r="F435">
        <v>4</v>
      </c>
      <c r="G435">
        <v>50</v>
      </c>
      <c r="H435">
        <v>200</v>
      </c>
      <c r="I435" t="s">
        <v>18</v>
      </c>
      <c r="J435" t="s">
        <v>19</v>
      </c>
    </row>
    <row r="436" spans="1:10" x14ac:dyDescent="0.25">
      <c r="A436" s="1">
        <v>44965</v>
      </c>
      <c r="B436" t="s">
        <v>467</v>
      </c>
      <c r="C436" t="s">
        <v>16</v>
      </c>
      <c r="D436">
        <v>43</v>
      </c>
      <c r="E436" t="s">
        <v>21</v>
      </c>
      <c r="F436">
        <v>2</v>
      </c>
      <c r="G436">
        <v>25</v>
      </c>
      <c r="H436">
        <v>50</v>
      </c>
      <c r="I436" t="s">
        <v>18</v>
      </c>
      <c r="J436" t="s">
        <v>34</v>
      </c>
    </row>
    <row r="437" spans="1:10" x14ac:dyDescent="0.25">
      <c r="A437" s="1">
        <v>45280</v>
      </c>
      <c r="B437" t="s">
        <v>468</v>
      </c>
      <c r="C437" t="s">
        <v>16</v>
      </c>
      <c r="D437">
        <v>30</v>
      </c>
      <c r="E437" t="s">
        <v>12</v>
      </c>
      <c r="F437">
        <v>3</v>
      </c>
      <c r="G437">
        <v>300</v>
      </c>
      <c r="H437">
        <v>900</v>
      </c>
      <c r="I437" t="s">
        <v>36</v>
      </c>
      <c r="J437" t="s">
        <v>34</v>
      </c>
    </row>
    <row r="438" spans="1:10" x14ac:dyDescent="0.25">
      <c r="A438" s="1">
        <v>45003</v>
      </c>
      <c r="B438" t="s">
        <v>469</v>
      </c>
      <c r="C438" t="s">
        <v>16</v>
      </c>
      <c r="D438">
        <v>57</v>
      </c>
      <c r="E438" t="s">
        <v>17</v>
      </c>
      <c r="F438">
        <v>4</v>
      </c>
      <c r="G438">
        <v>30</v>
      </c>
      <c r="H438">
        <v>120</v>
      </c>
      <c r="I438" t="s">
        <v>32</v>
      </c>
      <c r="J438" t="s">
        <v>27</v>
      </c>
    </row>
    <row r="439" spans="1:10" x14ac:dyDescent="0.25">
      <c r="A439" s="1">
        <v>45206</v>
      </c>
      <c r="B439" t="s">
        <v>470</v>
      </c>
      <c r="C439" t="s">
        <v>16</v>
      </c>
      <c r="D439">
        <v>35</v>
      </c>
      <c r="E439" t="s">
        <v>21</v>
      </c>
      <c r="F439">
        <v>4</v>
      </c>
      <c r="G439">
        <v>300</v>
      </c>
      <c r="H439">
        <v>1200</v>
      </c>
      <c r="I439" t="s">
        <v>38</v>
      </c>
      <c r="J439" t="s">
        <v>27</v>
      </c>
    </row>
    <row r="440" spans="1:10" x14ac:dyDescent="0.25">
      <c r="A440" s="1">
        <v>44945</v>
      </c>
      <c r="B440" t="s">
        <v>471</v>
      </c>
      <c r="C440" t="s">
        <v>16</v>
      </c>
      <c r="D440">
        <v>42</v>
      </c>
      <c r="E440" t="s">
        <v>17</v>
      </c>
      <c r="F440">
        <v>1</v>
      </c>
      <c r="G440">
        <v>30</v>
      </c>
      <c r="H440">
        <v>30</v>
      </c>
      <c r="I440" t="s">
        <v>22</v>
      </c>
      <c r="J440" t="s">
        <v>58</v>
      </c>
    </row>
    <row r="441" spans="1:10" x14ac:dyDescent="0.25">
      <c r="A441" s="1">
        <v>45116</v>
      </c>
      <c r="B441" t="s">
        <v>472</v>
      </c>
      <c r="C441" t="s">
        <v>11</v>
      </c>
      <c r="D441">
        <v>50</v>
      </c>
      <c r="E441" t="s">
        <v>17</v>
      </c>
      <c r="F441">
        <v>3</v>
      </c>
      <c r="G441">
        <v>25</v>
      </c>
      <c r="H441">
        <v>75</v>
      </c>
      <c r="I441" t="s">
        <v>76</v>
      </c>
      <c r="J441" t="s">
        <v>25</v>
      </c>
    </row>
    <row r="442" spans="1:10" x14ac:dyDescent="0.25">
      <c r="A442" s="1">
        <v>45225</v>
      </c>
      <c r="B442" t="s">
        <v>473</v>
      </c>
      <c r="C442" t="s">
        <v>11</v>
      </c>
      <c r="D442">
        <v>64</v>
      </c>
      <c r="E442" t="s">
        <v>17</v>
      </c>
      <c r="F442">
        <v>2</v>
      </c>
      <c r="G442">
        <v>300</v>
      </c>
      <c r="H442">
        <v>600</v>
      </c>
      <c r="I442" t="s">
        <v>38</v>
      </c>
      <c r="J442" t="s">
        <v>58</v>
      </c>
    </row>
    <row r="443" spans="1:10" x14ac:dyDescent="0.25">
      <c r="A443" s="1">
        <v>45209</v>
      </c>
      <c r="B443" t="s">
        <v>474</v>
      </c>
      <c r="C443" t="s">
        <v>11</v>
      </c>
      <c r="D443">
        <v>57</v>
      </c>
      <c r="E443" t="s">
        <v>12</v>
      </c>
      <c r="F443">
        <v>4</v>
      </c>
      <c r="G443">
        <v>300</v>
      </c>
      <c r="H443">
        <v>1200</v>
      </c>
      <c r="I443" t="s">
        <v>38</v>
      </c>
      <c r="J443" t="s">
        <v>30</v>
      </c>
    </row>
    <row r="444" spans="1:10" x14ac:dyDescent="0.25">
      <c r="A444" s="1">
        <v>45002</v>
      </c>
      <c r="B444" t="s">
        <v>475</v>
      </c>
      <c r="C444" t="s">
        <v>16</v>
      </c>
      <c r="D444">
        <v>60</v>
      </c>
      <c r="E444" t="s">
        <v>17</v>
      </c>
      <c r="F444">
        <v>4</v>
      </c>
      <c r="G444">
        <v>25</v>
      </c>
      <c r="H444">
        <v>100</v>
      </c>
      <c r="I444" t="s">
        <v>32</v>
      </c>
      <c r="J444" t="s">
        <v>14</v>
      </c>
    </row>
    <row r="445" spans="1:10" x14ac:dyDescent="0.25">
      <c r="A445" s="1">
        <v>45147</v>
      </c>
      <c r="B445" t="s">
        <v>476</v>
      </c>
      <c r="C445" t="s">
        <v>11</v>
      </c>
      <c r="D445">
        <v>29</v>
      </c>
      <c r="E445" t="s">
        <v>17</v>
      </c>
      <c r="F445">
        <v>2</v>
      </c>
      <c r="G445">
        <v>300</v>
      </c>
      <c r="H445">
        <v>600</v>
      </c>
      <c r="I445" t="s">
        <v>42</v>
      </c>
      <c r="J445" t="s">
        <v>34</v>
      </c>
    </row>
    <row r="446" spans="1:10" x14ac:dyDescent="0.25">
      <c r="A446" s="1">
        <v>44992</v>
      </c>
      <c r="B446" t="s">
        <v>477</v>
      </c>
      <c r="C446" t="s">
        <v>16</v>
      </c>
      <c r="D446">
        <v>61</v>
      </c>
      <c r="E446" t="s">
        <v>17</v>
      </c>
      <c r="F446">
        <v>3</v>
      </c>
      <c r="G446">
        <v>30</v>
      </c>
      <c r="H446">
        <v>90</v>
      </c>
      <c r="I446" t="s">
        <v>32</v>
      </c>
      <c r="J446" t="s">
        <v>30</v>
      </c>
    </row>
    <row r="447" spans="1:10" x14ac:dyDescent="0.25">
      <c r="A447" s="1">
        <v>44948</v>
      </c>
      <c r="B447" t="s">
        <v>478</v>
      </c>
      <c r="C447" t="s">
        <v>16</v>
      </c>
      <c r="D447">
        <v>53</v>
      </c>
      <c r="E447" t="s">
        <v>21</v>
      </c>
      <c r="F447">
        <v>1</v>
      </c>
      <c r="G447">
        <v>300</v>
      </c>
      <c r="H447">
        <v>300</v>
      </c>
      <c r="I447" t="s">
        <v>22</v>
      </c>
      <c r="J447" t="s">
        <v>25</v>
      </c>
    </row>
    <row r="448" spans="1:10" x14ac:dyDescent="0.25">
      <c r="A448" s="1">
        <v>45084</v>
      </c>
      <c r="B448" t="s">
        <v>479</v>
      </c>
      <c r="C448" t="s">
        <v>11</v>
      </c>
      <c r="D448">
        <v>21</v>
      </c>
      <c r="E448" t="s">
        <v>21</v>
      </c>
      <c r="F448">
        <v>1</v>
      </c>
      <c r="G448">
        <v>50</v>
      </c>
      <c r="H448">
        <v>50</v>
      </c>
      <c r="I448" t="s">
        <v>68</v>
      </c>
      <c r="J448" t="s">
        <v>34</v>
      </c>
    </row>
    <row r="449" spans="1:10" x14ac:dyDescent="0.25">
      <c r="A449" s="1">
        <v>45113</v>
      </c>
      <c r="B449" t="s">
        <v>480</v>
      </c>
      <c r="C449" t="s">
        <v>11</v>
      </c>
      <c r="D449">
        <v>22</v>
      </c>
      <c r="E449" t="s">
        <v>12</v>
      </c>
      <c r="F449">
        <v>4</v>
      </c>
      <c r="G449">
        <v>500</v>
      </c>
      <c r="H449">
        <v>2000</v>
      </c>
      <c r="I449" t="s">
        <v>76</v>
      </c>
      <c r="J449" t="s">
        <v>58</v>
      </c>
    </row>
    <row r="450" spans="1:10" x14ac:dyDescent="0.25">
      <c r="A450" s="1">
        <v>44947</v>
      </c>
      <c r="B450" t="s">
        <v>481</v>
      </c>
      <c r="C450" t="s">
        <v>16</v>
      </c>
      <c r="D450">
        <v>54</v>
      </c>
      <c r="E450" t="s">
        <v>12</v>
      </c>
      <c r="F450">
        <v>2</v>
      </c>
      <c r="G450">
        <v>30</v>
      </c>
      <c r="H450">
        <v>60</v>
      </c>
      <c r="I450" t="s">
        <v>22</v>
      </c>
      <c r="J450" t="s">
        <v>27</v>
      </c>
    </row>
    <row r="451" spans="1:10" x14ac:dyDescent="0.25">
      <c r="A451" s="1">
        <v>45110</v>
      </c>
      <c r="B451" t="s">
        <v>482</v>
      </c>
      <c r="C451" t="s">
        <v>11</v>
      </c>
      <c r="D451">
        <v>25</v>
      </c>
      <c r="E451" t="s">
        <v>21</v>
      </c>
      <c r="F451">
        <v>4</v>
      </c>
      <c r="G451">
        <v>50</v>
      </c>
      <c r="H451">
        <v>200</v>
      </c>
      <c r="I451" t="s">
        <v>76</v>
      </c>
      <c r="J451" t="s">
        <v>19</v>
      </c>
    </row>
    <row r="452" spans="1:10" x14ac:dyDescent="0.25">
      <c r="A452" s="1">
        <v>45034</v>
      </c>
      <c r="B452" t="s">
        <v>483</v>
      </c>
      <c r="C452" t="s">
        <v>16</v>
      </c>
      <c r="D452">
        <v>59</v>
      </c>
      <c r="E452" t="s">
        <v>12</v>
      </c>
      <c r="F452">
        <v>2</v>
      </c>
      <c r="G452">
        <v>25</v>
      </c>
      <c r="H452">
        <v>50</v>
      </c>
      <c r="I452" t="s">
        <v>29</v>
      </c>
      <c r="J452" t="s">
        <v>30</v>
      </c>
    </row>
    <row r="453" spans="1:10" x14ac:dyDescent="0.25">
      <c r="A453" s="1">
        <v>45276</v>
      </c>
      <c r="B453" t="s">
        <v>484</v>
      </c>
      <c r="C453" t="s">
        <v>16</v>
      </c>
      <c r="D453">
        <v>45</v>
      </c>
      <c r="E453" t="s">
        <v>21</v>
      </c>
      <c r="F453">
        <v>1</v>
      </c>
      <c r="G453">
        <v>30</v>
      </c>
      <c r="H453">
        <v>30</v>
      </c>
      <c r="I453" t="s">
        <v>36</v>
      </c>
      <c r="J453" t="s">
        <v>27</v>
      </c>
    </row>
    <row r="454" spans="1:10" x14ac:dyDescent="0.25">
      <c r="A454" s="1">
        <v>45054</v>
      </c>
      <c r="B454" t="s">
        <v>485</v>
      </c>
      <c r="C454" t="s">
        <v>16</v>
      </c>
      <c r="D454">
        <v>48</v>
      </c>
      <c r="E454" t="s">
        <v>17</v>
      </c>
      <c r="F454">
        <v>3</v>
      </c>
      <c r="G454">
        <v>500</v>
      </c>
      <c r="H454">
        <v>1500</v>
      </c>
      <c r="I454" t="s">
        <v>24</v>
      </c>
      <c r="J454" t="s">
        <v>19</v>
      </c>
    </row>
    <row r="455" spans="1:10" x14ac:dyDescent="0.25">
      <c r="A455" s="1">
        <v>45268</v>
      </c>
      <c r="B455" t="s">
        <v>486</v>
      </c>
      <c r="C455" t="s">
        <v>16</v>
      </c>
      <c r="D455">
        <v>26</v>
      </c>
      <c r="E455" t="s">
        <v>17</v>
      </c>
      <c r="F455">
        <v>2</v>
      </c>
      <c r="G455">
        <v>500</v>
      </c>
      <c r="H455">
        <v>1000</v>
      </c>
      <c r="I455" t="s">
        <v>36</v>
      </c>
      <c r="J455" t="s">
        <v>14</v>
      </c>
    </row>
    <row r="456" spans="1:10" x14ac:dyDescent="0.25">
      <c r="A456" s="1">
        <v>44979</v>
      </c>
      <c r="B456" t="s">
        <v>487</v>
      </c>
      <c r="C456" t="s">
        <v>16</v>
      </c>
      <c r="D456">
        <v>46</v>
      </c>
      <c r="E456" t="s">
        <v>12</v>
      </c>
      <c r="F456">
        <v>1</v>
      </c>
      <c r="G456">
        <v>25</v>
      </c>
      <c r="H456">
        <v>25</v>
      </c>
      <c r="I456" t="s">
        <v>18</v>
      </c>
      <c r="J456" t="s">
        <v>34</v>
      </c>
    </row>
    <row r="457" spans="1:10" x14ac:dyDescent="0.25">
      <c r="A457" s="1">
        <v>45108</v>
      </c>
      <c r="B457" t="s">
        <v>488</v>
      </c>
      <c r="C457" t="s">
        <v>11</v>
      </c>
      <c r="D457">
        <v>31</v>
      </c>
      <c r="E457" t="s">
        <v>21</v>
      </c>
      <c r="F457">
        <v>4</v>
      </c>
      <c r="G457">
        <v>25</v>
      </c>
      <c r="H457">
        <v>100</v>
      </c>
      <c r="I457" t="s">
        <v>76</v>
      </c>
      <c r="J457" t="s">
        <v>27</v>
      </c>
    </row>
    <row r="458" spans="1:10" x14ac:dyDescent="0.25">
      <c r="A458" s="1">
        <v>45213</v>
      </c>
      <c r="B458" t="s">
        <v>489</v>
      </c>
      <c r="C458" t="s">
        <v>11</v>
      </c>
      <c r="D458">
        <v>57</v>
      </c>
      <c r="E458" t="s">
        <v>21</v>
      </c>
      <c r="F458">
        <v>2</v>
      </c>
      <c r="G458">
        <v>30</v>
      </c>
      <c r="H458">
        <v>60</v>
      </c>
      <c r="I458" t="s">
        <v>38</v>
      </c>
      <c r="J458" t="s">
        <v>27</v>
      </c>
    </row>
    <row r="459" spans="1:10" x14ac:dyDescent="0.25">
      <c r="A459" s="1">
        <v>45135</v>
      </c>
      <c r="B459" t="s">
        <v>490</v>
      </c>
      <c r="C459" t="s">
        <v>16</v>
      </c>
      <c r="D459">
        <v>58</v>
      </c>
      <c r="E459" t="s">
        <v>12</v>
      </c>
      <c r="F459">
        <v>3</v>
      </c>
      <c r="G459">
        <v>300</v>
      </c>
      <c r="H459">
        <v>900</v>
      </c>
      <c r="I459" t="s">
        <v>76</v>
      </c>
      <c r="J459" t="s">
        <v>14</v>
      </c>
    </row>
    <row r="460" spans="1:10" x14ac:dyDescent="0.25">
      <c r="A460" s="1">
        <v>45244</v>
      </c>
      <c r="B460" t="s">
        <v>491</v>
      </c>
      <c r="C460" t="s">
        <v>16</v>
      </c>
      <c r="D460">
        <v>39</v>
      </c>
      <c r="E460" t="s">
        <v>21</v>
      </c>
      <c r="F460">
        <v>4</v>
      </c>
      <c r="G460">
        <v>25</v>
      </c>
      <c r="H460">
        <v>100</v>
      </c>
      <c r="I460" t="s">
        <v>13</v>
      </c>
      <c r="J460" t="s">
        <v>30</v>
      </c>
    </row>
    <row r="461" spans="1:10" x14ac:dyDescent="0.25">
      <c r="A461" s="1">
        <v>45006</v>
      </c>
      <c r="B461" t="s">
        <v>492</v>
      </c>
      <c r="C461" t="s">
        <v>11</v>
      </c>
      <c r="D461">
        <v>28</v>
      </c>
      <c r="E461" t="s">
        <v>17</v>
      </c>
      <c r="F461">
        <v>4</v>
      </c>
      <c r="G461">
        <v>300</v>
      </c>
      <c r="H461">
        <v>1200</v>
      </c>
      <c r="I461" t="s">
        <v>32</v>
      </c>
      <c r="J461" t="s">
        <v>30</v>
      </c>
    </row>
    <row r="462" spans="1:10" x14ac:dyDescent="0.25">
      <c r="A462" s="1">
        <v>45048</v>
      </c>
      <c r="B462" t="s">
        <v>493</v>
      </c>
      <c r="C462" t="s">
        <v>11</v>
      </c>
      <c r="D462">
        <v>40</v>
      </c>
      <c r="E462" t="s">
        <v>12</v>
      </c>
      <c r="F462">
        <v>1</v>
      </c>
      <c r="G462">
        <v>50</v>
      </c>
      <c r="H462">
        <v>50</v>
      </c>
      <c r="I462" t="s">
        <v>24</v>
      </c>
      <c r="J462" t="s">
        <v>30</v>
      </c>
    </row>
    <row r="463" spans="1:10" x14ac:dyDescent="0.25">
      <c r="A463" s="1">
        <v>45010</v>
      </c>
      <c r="B463" t="s">
        <v>494</v>
      </c>
      <c r="C463" t="s">
        <v>16</v>
      </c>
      <c r="D463">
        <v>18</v>
      </c>
      <c r="E463" t="s">
        <v>12</v>
      </c>
      <c r="F463">
        <v>2</v>
      </c>
      <c r="G463">
        <v>500</v>
      </c>
      <c r="H463">
        <v>1000</v>
      </c>
      <c r="I463" t="s">
        <v>32</v>
      </c>
      <c r="J463" t="s">
        <v>27</v>
      </c>
    </row>
    <row r="464" spans="1:10" x14ac:dyDescent="0.25">
      <c r="A464" s="1">
        <v>45017</v>
      </c>
      <c r="B464" t="s">
        <v>495</v>
      </c>
      <c r="C464" t="s">
        <v>11</v>
      </c>
      <c r="D464">
        <v>63</v>
      </c>
      <c r="E464" t="s">
        <v>21</v>
      </c>
      <c r="F464">
        <v>4</v>
      </c>
      <c r="G464">
        <v>300</v>
      </c>
      <c r="H464">
        <v>1200</v>
      </c>
      <c r="I464" t="s">
        <v>29</v>
      </c>
      <c r="J464" t="s">
        <v>27</v>
      </c>
    </row>
    <row r="465" spans="1:10" x14ac:dyDescent="0.25">
      <c r="A465" s="1">
        <v>45138</v>
      </c>
      <c r="B465" t="s">
        <v>496</v>
      </c>
      <c r="C465" t="s">
        <v>16</v>
      </c>
      <c r="D465">
        <v>54</v>
      </c>
      <c r="E465" t="s">
        <v>12</v>
      </c>
      <c r="F465">
        <v>3</v>
      </c>
      <c r="G465">
        <v>500</v>
      </c>
      <c r="H465">
        <v>1500</v>
      </c>
      <c r="I465" t="s">
        <v>76</v>
      </c>
      <c r="J465" t="s">
        <v>19</v>
      </c>
    </row>
    <row r="466" spans="1:10" x14ac:dyDescent="0.25">
      <c r="A466" s="1">
        <v>44939</v>
      </c>
      <c r="B466" t="s">
        <v>497</v>
      </c>
      <c r="C466" t="s">
        <v>11</v>
      </c>
      <c r="D466">
        <v>38</v>
      </c>
      <c r="E466" t="s">
        <v>21</v>
      </c>
      <c r="F466">
        <v>2</v>
      </c>
      <c r="G466">
        <v>300</v>
      </c>
      <c r="H466">
        <v>600</v>
      </c>
      <c r="I466" t="s">
        <v>22</v>
      </c>
      <c r="J466" t="s">
        <v>14</v>
      </c>
    </row>
    <row r="467" spans="1:10" x14ac:dyDescent="0.25">
      <c r="A467" s="1">
        <v>45018</v>
      </c>
      <c r="B467" t="s">
        <v>498</v>
      </c>
      <c r="C467" t="s">
        <v>16</v>
      </c>
      <c r="D467">
        <v>43</v>
      </c>
      <c r="E467" t="s">
        <v>21</v>
      </c>
      <c r="F467">
        <v>3</v>
      </c>
      <c r="G467">
        <v>50</v>
      </c>
      <c r="H467">
        <v>150</v>
      </c>
      <c r="I467" t="s">
        <v>29</v>
      </c>
      <c r="J467" t="s">
        <v>25</v>
      </c>
    </row>
    <row r="468" spans="1:10" x14ac:dyDescent="0.25">
      <c r="A468" s="1">
        <v>45097</v>
      </c>
      <c r="B468" t="s">
        <v>499</v>
      </c>
      <c r="C468" t="s">
        <v>11</v>
      </c>
      <c r="D468">
        <v>63</v>
      </c>
      <c r="E468" t="s">
        <v>21</v>
      </c>
      <c r="F468">
        <v>4</v>
      </c>
      <c r="G468">
        <v>25</v>
      </c>
      <c r="H468">
        <v>100</v>
      </c>
      <c r="I468" t="s">
        <v>68</v>
      </c>
      <c r="J468" t="s">
        <v>30</v>
      </c>
    </row>
    <row r="469" spans="1:10" x14ac:dyDescent="0.25">
      <c r="A469" s="1">
        <v>45137</v>
      </c>
      <c r="B469" t="s">
        <v>500</v>
      </c>
      <c r="C469" t="s">
        <v>16</v>
      </c>
      <c r="D469">
        <v>53</v>
      </c>
      <c r="E469" t="s">
        <v>21</v>
      </c>
      <c r="F469">
        <v>3</v>
      </c>
      <c r="G469">
        <v>50</v>
      </c>
      <c r="H469">
        <v>150</v>
      </c>
      <c r="I469" t="s">
        <v>76</v>
      </c>
      <c r="J469" t="s">
        <v>25</v>
      </c>
    </row>
    <row r="470" spans="1:10" x14ac:dyDescent="0.25">
      <c r="A470" s="1">
        <v>45269</v>
      </c>
      <c r="B470" t="s">
        <v>501</v>
      </c>
      <c r="C470" t="s">
        <v>11</v>
      </c>
      <c r="D470">
        <v>40</v>
      </c>
      <c r="E470" t="s">
        <v>21</v>
      </c>
      <c r="F470">
        <v>1</v>
      </c>
      <c r="G470">
        <v>25</v>
      </c>
      <c r="H470">
        <v>25</v>
      </c>
      <c r="I470" t="s">
        <v>36</v>
      </c>
      <c r="J470" t="s">
        <v>27</v>
      </c>
    </row>
    <row r="471" spans="1:10" x14ac:dyDescent="0.25">
      <c r="A471" s="1">
        <v>45054</v>
      </c>
      <c r="B471" t="s">
        <v>502</v>
      </c>
      <c r="C471" t="s">
        <v>11</v>
      </c>
      <c r="D471">
        <v>18</v>
      </c>
      <c r="E471" t="s">
        <v>12</v>
      </c>
      <c r="F471">
        <v>3</v>
      </c>
      <c r="G471">
        <v>25</v>
      </c>
      <c r="H471">
        <v>75</v>
      </c>
      <c r="I471" t="s">
        <v>24</v>
      </c>
      <c r="J471" t="s">
        <v>19</v>
      </c>
    </row>
    <row r="472" spans="1:10" x14ac:dyDescent="0.25">
      <c r="A472" s="1">
        <v>45063</v>
      </c>
      <c r="B472" t="s">
        <v>503</v>
      </c>
      <c r="C472" t="s">
        <v>16</v>
      </c>
      <c r="D472">
        <v>57</v>
      </c>
      <c r="E472" t="s">
        <v>17</v>
      </c>
      <c r="F472">
        <v>2</v>
      </c>
      <c r="G472">
        <v>500</v>
      </c>
      <c r="H472">
        <v>1000</v>
      </c>
      <c r="I472" t="s">
        <v>24</v>
      </c>
      <c r="J472" t="s">
        <v>34</v>
      </c>
    </row>
    <row r="473" spans="1:10" x14ac:dyDescent="0.25">
      <c r="A473" s="1">
        <v>45008</v>
      </c>
      <c r="B473" t="s">
        <v>504</v>
      </c>
      <c r="C473" t="s">
        <v>11</v>
      </c>
      <c r="D473">
        <v>32</v>
      </c>
      <c r="E473" t="s">
        <v>17</v>
      </c>
      <c r="F473">
        <v>3</v>
      </c>
      <c r="G473">
        <v>50</v>
      </c>
      <c r="H473">
        <v>150</v>
      </c>
      <c r="I473" t="s">
        <v>32</v>
      </c>
      <c r="J473" t="s">
        <v>58</v>
      </c>
    </row>
    <row r="474" spans="1:10" x14ac:dyDescent="0.25">
      <c r="A474" s="1">
        <v>45286</v>
      </c>
      <c r="B474" t="s">
        <v>505</v>
      </c>
      <c r="C474" t="s">
        <v>16</v>
      </c>
      <c r="D474">
        <v>38</v>
      </c>
      <c r="E474" t="s">
        <v>12</v>
      </c>
      <c r="F474">
        <v>3</v>
      </c>
      <c r="G474">
        <v>300</v>
      </c>
      <c r="H474">
        <v>900</v>
      </c>
      <c r="I474" t="s">
        <v>36</v>
      </c>
      <c r="J474" t="s">
        <v>30</v>
      </c>
    </row>
    <row r="475" spans="1:10" x14ac:dyDescent="0.25">
      <c r="A475" s="1">
        <v>44982</v>
      </c>
      <c r="B475" t="s">
        <v>506</v>
      </c>
      <c r="C475" t="s">
        <v>11</v>
      </c>
      <c r="D475">
        <v>64</v>
      </c>
      <c r="E475" t="s">
        <v>12</v>
      </c>
      <c r="F475">
        <v>1</v>
      </c>
      <c r="G475">
        <v>50</v>
      </c>
      <c r="H475">
        <v>50</v>
      </c>
      <c r="I475" t="s">
        <v>18</v>
      </c>
      <c r="J475" t="s">
        <v>27</v>
      </c>
    </row>
    <row r="476" spans="1:10" x14ac:dyDescent="0.25">
      <c r="A476" s="1">
        <v>45122</v>
      </c>
      <c r="B476" t="s">
        <v>507</v>
      </c>
      <c r="C476" t="s">
        <v>16</v>
      </c>
      <c r="D476">
        <v>26</v>
      </c>
      <c r="E476" t="s">
        <v>17</v>
      </c>
      <c r="F476">
        <v>3</v>
      </c>
      <c r="G476">
        <v>500</v>
      </c>
      <c r="H476">
        <v>1500</v>
      </c>
      <c r="I476" t="s">
        <v>76</v>
      </c>
      <c r="J476" t="s">
        <v>27</v>
      </c>
    </row>
    <row r="477" spans="1:10" x14ac:dyDescent="0.25">
      <c r="A477" s="1">
        <v>44946</v>
      </c>
      <c r="B477" t="s">
        <v>508</v>
      </c>
      <c r="C477" t="s">
        <v>11</v>
      </c>
      <c r="D477">
        <v>26</v>
      </c>
      <c r="E477" t="s">
        <v>17</v>
      </c>
      <c r="F477">
        <v>3</v>
      </c>
      <c r="G477">
        <v>25</v>
      </c>
      <c r="H477">
        <v>75</v>
      </c>
      <c r="I477" t="s">
        <v>22</v>
      </c>
      <c r="J477" t="s">
        <v>14</v>
      </c>
    </row>
    <row r="478" spans="1:10" x14ac:dyDescent="0.25">
      <c r="A478" s="1">
        <v>45167</v>
      </c>
      <c r="B478" t="s">
        <v>509</v>
      </c>
      <c r="C478" t="s">
        <v>16</v>
      </c>
      <c r="D478">
        <v>27</v>
      </c>
      <c r="E478" t="s">
        <v>17</v>
      </c>
      <c r="F478">
        <v>4</v>
      </c>
      <c r="G478">
        <v>500</v>
      </c>
      <c r="H478">
        <v>2000</v>
      </c>
      <c r="I478" t="s">
        <v>42</v>
      </c>
      <c r="J478" t="s">
        <v>30</v>
      </c>
    </row>
    <row r="479" spans="1:10" x14ac:dyDescent="0.25">
      <c r="A479" s="1">
        <v>45040</v>
      </c>
      <c r="B479" t="s">
        <v>510</v>
      </c>
      <c r="C479" t="s">
        <v>11</v>
      </c>
      <c r="D479">
        <v>43</v>
      </c>
      <c r="E479" t="s">
        <v>17</v>
      </c>
      <c r="F479">
        <v>4</v>
      </c>
      <c r="G479">
        <v>30</v>
      </c>
      <c r="H479">
        <v>120</v>
      </c>
      <c r="I479" t="s">
        <v>29</v>
      </c>
      <c r="J479" t="s">
        <v>19</v>
      </c>
    </row>
    <row r="480" spans="1:10" x14ac:dyDescent="0.25">
      <c r="A480" s="1">
        <v>45029</v>
      </c>
      <c r="B480" t="s">
        <v>511</v>
      </c>
      <c r="C480" t="s">
        <v>16</v>
      </c>
      <c r="D480">
        <v>58</v>
      </c>
      <c r="E480" t="s">
        <v>17</v>
      </c>
      <c r="F480">
        <v>2</v>
      </c>
      <c r="G480">
        <v>30</v>
      </c>
      <c r="H480">
        <v>60</v>
      </c>
      <c r="I480" t="s">
        <v>29</v>
      </c>
      <c r="J480" t="s">
        <v>58</v>
      </c>
    </row>
    <row r="481" spans="1:10" x14ac:dyDescent="0.25">
      <c r="A481" s="1">
        <v>45162</v>
      </c>
      <c r="B481" t="s">
        <v>512</v>
      </c>
      <c r="C481" t="s">
        <v>11</v>
      </c>
      <c r="D481">
        <v>52</v>
      </c>
      <c r="E481" t="s">
        <v>21</v>
      </c>
      <c r="F481">
        <v>4</v>
      </c>
      <c r="G481">
        <v>300</v>
      </c>
      <c r="H481">
        <v>1200</v>
      </c>
      <c r="I481" t="s">
        <v>42</v>
      </c>
      <c r="J481" t="s">
        <v>58</v>
      </c>
    </row>
    <row r="482" spans="1:10" x14ac:dyDescent="0.25">
      <c r="A482" s="1">
        <v>45106</v>
      </c>
      <c r="B482" t="s">
        <v>513</v>
      </c>
      <c r="C482" t="s">
        <v>16</v>
      </c>
      <c r="D482">
        <v>42</v>
      </c>
      <c r="E482" t="s">
        <v>12</v>
      </c>
      <c r="F482">
        <v>4</v>
      </c>
      <c r="G482">
        <v>500</v>
      </c>
      <c r="H482">
        <v>2000</v>
      </c>
      <c r="I482" t="s">
        <v>68</v>
      </c>
      <c r="J482" t="s">
        <v>58</v>
      </c>
    </row>
    <row r="483" spans="1:10" x14ac:dyDescent="0.25">
      <c r="A483" s="1">
        <v>45083</v>
      </c>
      <c r="B483" t="s">
        <v>514</v>
      </c>
      <c r="C483" t="s">
        <v>16</v>
      </c>
      <c r="D483">
        <v>43</v>
      </c>
      <c r="E483" t="s">
        <v>21</v>
      </c>
      <c r="F483">
        <v>4</v>
      </c>
      <c r="G483">
        <v>300</v>
      </c>
      <c r="H483">
        <v>1200</v>
      </c>
      <c r="I483" t="s">
        <v>68</v>
      </c>
      <c r="J483" t="s">
        <v>30</v>
      </c>
    </row>
    <row r="484" spans="1:10" x14ac:dyDescent="0.25">
      <c r="A484" s="1">
        <v>45043</v>
      </c>
      <c r="B484" t="s">
        <v>515</v>
      </c>
      <c r="C484" t="s">
        <v>16</v>
      </c>
      <c r="D484">
        <v>28</v>
      </c>
      <c r="E484" t="s">
        <v>17</v>
      </c>
      <c r="F484">
        <v>4</v>
      </c>
      <c r="G484">
        <v>300</v>
      </c>
      <c r="H484">
        <v>1200</v>
      </c>
      <c r="I484" t="s">
        <v>29</v>
      </c>
      <c r="J484" t="s">
        <v>58</v>
      </c>
    </row>
    <row r="485" spans="1:10" x14ac:dyDescent="0.25">
      <c r="A485" s="1">
        <v>45041</v>
      </c>
      <c r="B485" t="s">
        <v>516</v>
      </c>
      <c r="C485" t="s">
        <v>11</v>
      </c>
      <c r="D485">
        <v>55</v>
      </c>
      <c r="E485" t="s">
        <v>17</v>
      </c>
      <c r="F485">
        <v>1</v>
      </c>
      <c r="G485">
        <v>30</v>
      </c>
      <c r="H485">
        <v>30</v>
      </c>
      <c r="I485" t="s">
        <v>29</v>
      </c>
      <c r="J485" t="s">
        <v>30</v>
      </c>
    </row>
    <row r="486" spans="1:10" x14ac:dyDescent="0.25">
      <c r="A486" s="1">
        <v>44939</v>
      </c>
      <c r="B486" t="s">
        <v>517</v>
      </c>
      <c r="C486" t="s">
        <v>16</v>
      </c>
      <c r="D486">
        <v>19</v>
      </c>
      <c r="E486" t="s">
        <v>17</v>
      </c>
      <c r="F486">
        <v>4</v>
      </c>
      <c r="G486">
        <v>300</v>
      </c>
      <c r="H486">
        <v>1200</v>
      </c>
      <c r="I486" t="s">
        <v>22</v>
      </c>
      <c r="J486" t="s">
        <v>14</v>
      </c>
    </row>
    <row r="487" spans="1:10" x14ac:dyDescent="0.25">
      <c r="A487" s="1">
        <v>45264</v>
      </c>
      <c r="B487" t="s">
        <v>518</v>
      </c>
      <c r="C487" t="s">
        <v>11</v>
      </c>
      <c r="D487">
        <v>24</v>
      </c>
      <c r="E487" t="s">
        <v>21</v>
      </c>
      <c r="F487">
        <v>1</v>
      </c>
      <c r="G487">
        <v>30</v>
      </c>
      <c r="H487">
        <v>30</v>
      </c>
      <c r="I487" t="s">
        <v>36</v>
      </c>
      <c r="J487" t="s">
        <v>19</v>
      </c>
    </row>
    <row r="488" spans="1:10" x14ac:dyDescent="0.25">
      <c r="A488" s="1">
        <v>45025</v>
      </c>
      <c r="B488" t="s">
        <v>519</v>
      </c>
      <c r="C488" t="s">
        <v>16</v>
      </c>
      <c r="D488">
        <v>35</v>
      </c>
      <c r="E488" t="s">
        <v>21</v>
      </c>
      <c r="F488">
        <v>1</v>
      </c>
      <c r="G488">
        <v>25</v>
      </c>
      <c r="H488">
        <v>25</v>
      </c>
      <c r="I488" t="s">
        <v>29</v>
      </c>
      <c r="J488" t="s">
        <v>25</v>
      </c>
    </row>
    <row r="489" spans="1:10" x14ac:dyDescent="0.25">
      <c r="A489" s="1">
        <v>45131</v>
      </c>
      <c r="B489" t="s">
        <v>520</v>
      </c>
      <c r="C489" t="s">
        <v>11</v>
      </c>
      <c r="D489">
        <v>44</v>
      </c>
      <c r="E489" t="s">
        <v>17</v>
      </c>
      <c r="F489">
        <v>4</v>
      </c>
      <c r="G489">
        <v>500</v>
      </c>
      <c r="H489">
        <v>2000</v>
      </c>
      <c r="I489" t="s">
        <v>76</v>
      </c>
      <c r="J489" t="s">
        <v>19</v>
      </c>
    </row>
    <row r="490" spans="1:10" x14ac:dyDescent="0.25">
      <c r="A490" s="1">
        <v>45095</v>
      </c>
      <c r="B490" t="s">
        <v>521</v>
      </c>
      <c r="C490" t="s">
        <v>16</v>
      </c>
      <c r="D490">
        <v>51</v>
      </c>
      <c r="E490" t="s">
        <v>21</v>
      </c>
      <c r="F490">
        <v>3</v>
      </c>
      <c r="G490">
        <v>300</v>
      </c>
      <c r="H490">
        <v>900</v>
      </c>
      <c r="I490" t="s">
        <v>68</v>
      </c>
      <c r="J490" t="s">
        <v>25</v>
      </c>
    </row>
    <row r="491" spans="1:10" x14ac:dyDescent="0.25">
      <c r="A491" s="1">
        <v>45069</v>
      </c>
      <c r="B491" t="s">
        <v>522</v>
      </c>
      <c r="C491" t="s">
        <v>11</v>
      </c>
      <c r="D491">
        <v>44</v>
      </c>
      <c r="E491" t="s">
        <v>21</v>
      </c>
      <c r="F491">
        <v>1</v>
      </c>
      <c r="G491">
        <v>30</v>
      </c>
      <c r="H491">
        <v>30</v>
      </c>
      <c r="I491" t="s">
        <v>24</v>
      </c>
      <c r="J491" t="s">
        <v>30</v>
      </c>
    </row>
    <row r="492" spans="1:10" x14ac:dyDescent="0.25">
      <c r="A492" s="1">
        <v>44962</v>
      </c>
      <c r="B492" t="s">
        <v>523</v>
      </c>
      <c r="C492" t="s">
        <v>11</v>
      </c>
      <c r="D492">
        <v>34</v>
      </c>
      <c r="E492" t="s">
        <v>17</v>
      </c>
      <c r="F492">
        <v>3</v>
      </c>
      <c r="G492">
        <v>50</v>
      </c>
      <c r="H492">
        <v>150</v>
      </c>
      <c r="I492" t="s">
        <v>18</v>
      </c>
      <c r="J492" t="s">
        <v>25</v>
      </c>
    </row>
    <row r="493" spans="1:10" x14ac:dyDescent="0.25">
      <c r="A493" s="1">
        <v>45069</v>
      </c>
      <c r="B493" t="s">
        <v>524</v>
      </c>
      <c r="C493" t="s">
        <v>16</v>
      </c>
      <c r="D493">
        <v>60</v>
      </c>
      <c r="E493" t="s">
        <v>21</v>
      </c>
      <c r="F493">
        <v>3</v>
      </c>
      <c r="G493">
        <v>300</v>
      </c>
      <c r="H493">
        <v>900</v>
      </c>
      <c r="I493" t="s">
        <v>24</v>
      </c>
      <c r="J493" t="s">
        <v>30</v>
      </c>
    </row>
    <row r="494" spans="1:10" x14ac:dyDescent="0.25">
      <c r="A494" s="1">
        <v>45106</v>
      </c>
      <c r="B494" t="s">
        <v>525</v>
      </c>
      <c r="C494" t="s">
        <v>11</v>
      </c>
      <c r="D494">
        <v>61</v>
      </c>
      <c r="E494" t="s">
        <v>12</v>
      </c>
      <c r="F494">
        <v>4</v>
      </c>
      <c r="G494">
        <v>25</v>
      </c>
      <c r="H494">
        <v>100</v>
      </c>
      <c r="I494" t="s">
        <v>68</v>
      </c>
      <c r="J494" t="s">
        <v>58</v>
      </c>
    </row>
    <row r="495" spans="1:10" x14ac:dyDescent="0.25">
      <c r="A495" s="1">
        <v>45255</v>
      </c>
      <c r="B495" t="s">
        <v>526</v>
      </c>
      <c r="C495" t="s">
        <v>11</v>
      </c>
      <c r="D495">
        <v>41</v>
      </c>
      <c r="E495" t="s">
        <v>12</v>
      </c>
      <c r="F495">
        <v>2</v>
      </c>
      <c r="G495">
        <v>25</v>
      </c>
      <c r="H495">
        <v>50</v>
      </c>
      <c r="I495" t="s">
        <v>13</v>
      </c>
      <c r="J495" t="s">
        <v>27</v>
      </c>
    </row>
    <row r="496" spans="1:10" x14ac:dyDescent="0.25">
      <c r="A496" s="1">
        <v>45187</v>
      </c>
      <c r="B496" t="s">
        <v>527</v>
      </c>
      <c r="C496" t="s">
        <v>16</v>
      </c>
      <c r="D496">
        <v>42</v>
      </c>
      <c r="E496" t="s">
        <v>12</v>
      </c>
      <c r="F496">
        <v>4</v>
      </c>
      <c r="G496">
        <v>50</v>
      </c>
      <c r="H496">
        <v>200</v>
      </c>
      <c r="I496" t="s">
        <v>49</v>
      </c>
      <c r="J496" t="s">
        <v>19</v>
      </c>
    </row>
    <row r="497" spans="1:10" x14ac:dyDescent="0.25">
      <c r="A497" s="1">
        <v>45131</v>
      </c>
      <c r="B497" t="s">
        <v>528</v>
      </c>
      <c r="C497" t="s">
        <v>11</v>
      </c>
      <c r="D497">
        <v>24</v>
      </c>
      <c r="E497" t="s">
        <v>12</v>
      </c>
      <c r="F497">
        <v>2</v>
      </c>
      <c r="G497">
        <v>30</v>
      </c>
      <c r="H497">
        <v>60</v>
      </c>
      <c r="I497" t="s">
        <v>76</v>
      </c>
      <c r="J497" t="s">
        <v>19</v>
      </c>
    </row>
    <row r="498" spans="1:10" x14ac:dyDescent="0.25">
      <c r="A498" s="1">
        <v>45274</v>
      </c>
      <c r="B498" t="s">
        <v>529</v>
      </c>
      <c r="C498" t="s">
        <v>11</v>
      </c>
      <c r="D498">
        <v>23</v>
      </c>
      <c r="E498" t="s">
        <v>17</v>
      </c>
      <c r="F498">
        <v>2</v>
      </c>
      <c r="G498">
        <v>300</v>
      </c>
      <c r="H498">
        <v>600</v>
      </c>
      <c r="I498" t="s">
        <v>36</v>
      </c>
      <c r="J498" t="s">
        <v>58</v>
      </c>
    </row>
    <row r="499" spans="1:10" x14ac:dyDescent="0.25">
      <c r="A499" s="1">
        <v>45201</v>
      </c>
      <c r="B499" t="s">
        <v>530</v>
      </c>
      <c r="C499" t="s">
        <v>11</v>
      </c>
      <c r="D499">
        <v>41</v>
      </c>
      <c r="E499" t="s">
        <v>17</v>
      </c>
      <c r="F499">
        <v>4</v>
      </c>
      <c r="G499">
        <v>30</v>
      </c>
      <c r="H499">
        <v>120</v>
      </c>
      <c r="I499" t="s">
        <v>38</v>
      </c>
      <c r="J499" t="s">
        <v>19</v>
      </c>
    </row>
    <row r="500" spans="1:10" x14ac:dyDescent="0.25">
      <c r="A500" s="1">
        <v>45096</v>
      </c>
      <c r="B500" t="s">
        <v>531</v>
      </c>
      <c r="C500" t="s">
        <v>16</v>
      </c>
      <c r="D500">
        <v>50</v>
      </c>
      <c r="E500" t="s">
        <v>17</v>
      </c>
      <c r="F500">
        <v>4</v>
      </c>
      <c r="G500">
        <v>25</v>
      </c>
      <c r="H500">
        <v>100</v>
      </c>
      <c r="I500" t="s">
        <v>68</v>
      </c>
      <c r="J500" t="s">
        <v>19</v>
      </c>
    </row>
    <row r="501" spans="1:10" x14ac:dyDescent="0.25">
      <c r="A501" s="1">
        <v>44941</v>
      </c>
      <c r="B501" t="s">
        <v>532</v>
      </c>
      <c r="C501" t="s">
        <v>11</v>
      </c>
      <c r="D501">
        <v>46</v>
      </c>
      <c r="E501" t="s">
        <v>12</v>
      </c>
      <c r="F501">
        <v>2</v>
      </c>
      <c r="G501">
        <v>30</v>
      </c>
      <c r="H501">
        <v>60</v>
      </c>
      <c r="I501" t="s">
        <v>22</v>
      </c>
      <c r="J501" t="s">
        <v>25</v>
      </c>
    </row>
    <row r="502" spans="1:10" x14ac:dyDescent="0.25">
      <c r="A502" s="1">
        <v>44986</v>
      </c>
      <c r="B502" t="s">
        <v>533</v>
      </c>
      <c r="C502" t="s">
        <v>16</v>
      </c>
      <c r="D502">
        <v>60</v>
      </c>
      <c r="E502" t="s">
        <v>12</v>
      </c>
      <c r="F502">
        <v>4</v>
      </c>
      <c r="G502">
        <v>25</v>
      </c>
      <c r="H502">
        <v>100</v>
      </c>
      <c r="I502" t="s">
        <v>32</v>
      </c>
      <c r="J502" t="s">
        <v>34</v>
      </c>
    </row>
    <row r="503" spans="1:10" x14ac:dyDescent="0.25">
      <c r="A503" s="1">
        <v>45060</v>
      </c>
      <c r="B503" t="s">
        <v>534</v>
      </c>
      <c r="C503" t="s">
        <v>11</v>
      </c>
      <c r="D503">
        <v>39</v>
      </c>
      <c r="E503" t="s">
        <v>21</v>
      </c>
      <c r="F503">
        <v>2</v>
      </c>
      <c r="G503">
        <v>30</v>
      </c>
      <c r="H503">
        <v>60</v>
      </c>
      <c r="I503" t="s">
        <v>24</v>
      </c>
      <c r="J503" t="s">
        <v>25</v>
      </c>
    </row>
    <row r="504" spans="1:10" x14ac:dyDescent="0.25">
      <c r="A504" s="1">
        <v>45018</v>
      </c>
      <c r="B504" t="s">
        <v>535</v>
      </c>
      <c r="C504" t="s">
        <v>11</v>
      </c>
      <c r="D504">
        <v>43</v>
      </c>
      <c r="E504" t="s">
        <v>21</v>
      </c>
      <c r="F504">
        <v>3</v>
      </c>
      <c r="G504">
        <v>50</v>
      </c>
      <c r="H504">
        <v>150</v>
      </c>
      <c r="I504" t="s">
        <v>29</v>
      </c>
      <c r="J504" t="s">
        <v>25</v>
      </c>
    </row>
    <row r="505" spans="1:10" x14ac:dyDescent="0.25">
      <c r="A505" s="1">
        <v>45224</v>
      </c>
      <c r="B505" t="s">
        <v>536</v>
      </c>
      <c r="C505" t="s">
        <v>11</v>
      </c>
      <c r="D505">
        <v>45</v>
      </c>
      <c r="E505" t="s">
        <v>12</v>
      </c>
      <c r="F505">
        <v>4</v>
      </c>
      <c r="G505">
        <v>500</v>
      </c>
      <c r="H505">
        <v>2000</v>
      </c>
      <c r="I505" t="s">
        <v>38</v>
      </c>
      <c r="J505" t="s">
        <v>34</v>
      </c>
    </row>
    <row r="506" spans="1:10" x14ac:dyDescent="0.25">
      <c r="A506" s="1">
        <v>45062</v>
      </c>
      <c r="B506" t="s">
        <v>537</v>
      </c>
      <c r="C506" t="s">
        <v>16</v>
      </c>
      <c r="D506">
        <v>38</v>
      </c>
      <c r="E506" t="s">
        <v>12</v>
      </c>
      <c r="F506">
        <v>3</v>
      </c>
      <c r="G506">
        <v>50</v>
      </c>
      <c r="H506">
        <v>150</v>
      </c>
      <c r="I506" t="s">
        <v>24</v>
      </c>
      <c r="J506" t="s">
        <v>30</v>
      </c>
    </row>
    <row r="507" spans="1:10" x14ac:dyDescent="0.25">
      <c r="A507" s="1">
        <v>44946</v>
      </c>
      <c r="B507" t="s">
        <v>538</v>
      </c>
      <c r="C507" t="s">
        <v>11</v>
      </c>
      <c r="D507">
        <v>24</v>
      </c>
      <c r="E507" t="s">
        <v>12</v>
      </c>
      <c r="F507">
        <v>1</v>
      </c>
      <c r="G507">
        <v>50</v>
      </c>
      <c r="H507">
        <v>50</v>
      </c>
      <c r="I507" t="s">
        <v>22</v>
      </c>
      <c r="J507" t="s">
        <v>14</v>
      </c>
    </row>
    <row r="508" spans="1:10" x14ac:dyDescent="0.25">
      <c r="A508" s="1">
        <v>44982</v>
      </c>
      <c r="B508" t="s">
        <v>539</v>
      </c>
      <c r="C508" t="s">
        <v>11</v>
      </c>
      <c r="D508">
        <v>34</v>
      </c>
      <c r="E508" t="s">
        <v>12</v>
      </c>
      <c r="F508">
        <v>3</v>
      </c>
      <c r="G508">
        <v>500</v>
      </c>
      <c r="H508">
        <v>1500</v>
      </c>
      <c r="I508" t="s">
        <v>18</v>
      </c>
      <c r="J508" t="s">
        <v>27</v>
      </c>
    </row>
    <row r="509" spans="1:10" x14ac:dyDescent="0.25">
      <c r="A509" s="1">
        <v>45232</v>
      </c>
      <c r="B509" t="s">
        <v>540</v>
      </c>
      <c r="C509" t="s">
        <v>16</v>
      </c>
      <c r="D509">
        <v>37</v>
      </c>
      <c r="E509" t="s">
        <v>21</v>
      </c>
      <c r="F509">
        <v>3</v>
      </c>
      <c r="G509">
        <v>500</v>
      </c>
      <c r="H509">
        <v>1500</v>
      </c>
      <c r="I509" t="s">
        <v>13</v>
      </c>
      <c r="J509" t="s">
        <v>58</v>
      </c>
    </row>
    <row r="510" spans="1:10" x14ac:dyDescent="0.25">
      <c r="A510" s="1">
        <v>45149</v>
      </c>
      <c r="B510" t="s">
        <v>541</v>
      </c>
      <c r="C510" t="s">
        <v>11</v>
      </c>
      <c r="D510">
        <v>58</v>
      </c>
      <c r="E510" t="s">
        <v>12</v>
      </c>
      <c r="F510">
        <v>2</v>
      </c>
      <c r="G510">
        <v>300</v>
      </c>
      <c r="H510">
        <v>600</v>
      </c>
      <c r="I510" t="s">
        <v>42</v>
      </c>
      <c r="J510" t="s">
        <v>14</v>
      </c>
    </row>
    <row r="511" spans="1:10" x14ac:dyDescent="0.25">
      <c r="A511" s="1">
        <v>45103</v>
      </c>
      <c r="B511" t="s">
        <v>542</v>
      </c>
      <c r="C511" t="s">
        <v>16</v>
      </c>
      <c r="D511">
        <v>37</v>
      </c>
      <c r="E511" t="s">
        <v>21</v>
      </c>
      <c r="F511">
        <v>3</v>
      </c>
      <c r="G511">
        <v>300</v>
      </c>
      <c r="H511">
        <v>900</v>
      </c>
      <c r="I511" t="s">
        <v>68</v>
      </c>
      <c r="J511" t="s">
        <v>19</v>
      </c>
    </row>
    <row r="512" spans="1:10" x14ac:dyDescent="0.25">
      <c r="A512" s="1">
        <v>45087</v>
      </c>
      <c r="B512" t="s">
        <v>543</v>
      </c>
      <c r="C512" t="s">
        <v>16</v>
      </c>
      <c r="D512">
        <v>39</v>
      </c>
      <c r="E512" t="s">
        <v>12</v>
      </c>
      <c r="F512">
        <v>4</v>
      </c>
      <c r="G512">
        <v>50</v>
      </c>
      <c r="H512">
        <v>200</v>
      </c>
      <c r="I512" t="s">
        <v>68</v>
      </c>
      <c r="J512" t="s">
        <v>27</v>
      </c>
    </row>
    <row r="513" spans="1:10" x14ac:dyDescent="0.25">
      <c r="A513" s="1">
        <v>45150</v>
      </c>
      <c r="B513" t="s">
        <v>544</v>
      </c>
      <c r="C513" t="s">
        <v>11</v>
      </c>
      <c r="D513">
        <v>45</v>
      </c>
      <c r="E513" t="s">
        <v>12</v>
      </c>
      <c r="F513">
        <v>2</v>
      </c>
      <c r="G513">
        <v>50</v>
      </c>
      <c r="H513">
        <v>100</v>
      </c>
      <c r="I513" t="s">
        <v>42</v>
      </c>
      <c r="J513" t="s">
        <v>27</v>
      </c>
    </row>
    <row r="514" spans="1:10" x14ac:dyDescent="0.25">
      <c r="A514" s="1">
        <v>45237</v>
      </c>
      <c r="B514" t="s">
        <v>545</v>
      </c>
      <c r="C514" t="s">
        <v>16</v>
      </c>
      <c r="D514">
        <v>57</v>
      </c>
      <c r="E514" t="s">
        <v>12</v>
      </c>
      <c r="F514">
        <v>1</v>
      </c>
      <c r="G514">
        <v>25</v>
      </c>
      <c r="H514">
        <v>25</v>
      </c>
      <c r="I514" t="s">
        <v>13</v>
      </c>
      <c r="J514" t="s">
        <v>30</v>
      </c>
    </row>
    <row r="515" spans="1:10" x14ac:dyDescent="0.25">
      <c r="A515" s="1">
        <v>45188</v>
      </c>
      <c r="B515" t="s">
        <v>546</v>
      </c>
      <c r="C515" t="s">
        <v>11</v>
      </c>
      <c r="D515">
        <v>24</v>
      </c>
      <c r="E515" t="s">
        <v>21</v>
      </c>
      <c r="F515">
        <v>4</v>
      </c>
      <c r="G515">
        <v>25</v>
      </c>
      <c r="H515">
        <v>100</v>
      </c>
      <c r="I515" t="s">
        <v>49</v>
      </c>
      <c r="J515" t="s">
        <v>30</v>
      </c>
    </row>
    <row r="516" spans="1:10" x14ac:dyDescent="0.25">
      <c r="A516" s="1">
        <v>44986</v>
      </c>
      <c r="B516" t="s">
        <v>547</v>
      </c>
      <c r="C516" t="s">
        <v>16</v>
      </c>
      <c r="D516">
        <v>18</v>
      </c>
      <c r="E516" t="s">
        <v>21</v>
      </c>
      <c r="F516">
        <v>1</v>
      </c>
      <c r="G516">
        <v>300</v>
      </c>
      <c r="H516">
        <v>300</v>
      </c>
      <c r="I516" t="s">
        <v>32</v>
      </c>
      <c r="J516" t="s">
        <v>34</v>
      </c>
    </row>
    <row r="517" spans="1:10" x14ac:dyDescent="0.25">
      <c r="A517" s="1">
        <v>45124</v>
      </c>
      <c r="B517" t="s">
        <v>548</v>
      </c>
      <c r="C517" t="s">
        <v>16</v>
      </c>
      <c r="D517">
        <v>49</v>
      </c>
      <c r="E517" t="s">
        <v>17</v>
      </c>
      <c r="F517">
        <v>3</v>
      </c>
      <c r="G517">
        <v>300</v>
      </c>
      <c r="H517">
        <v>900</v>
      </c>
      <c r="I517" t="s">
        <v>76</v>
      </c>
      <c r="J517" t="s">
        <v>19</v>
      </c>
    </row>
    <row r="518" spans="1:10" x14ac:dyDescent="0.25">
      <c r="A518" s="1">
        <v>45222</v>
      </c>
      <c r="B518" t="s">
        <v>549</v>
      </c>
      <c r="C518" t="s">
        <v>11</v>
      </c>
      <c r="D518">
        <v>30</v>
      </c>
      <c r="E518" t="s">
        <v>12</v>
      </c>
      <c r="F518">
        <v>4</v>
      </c>
      <c r="G518">
        <v>25</v>
      </c>
      <c r="H518">
        <v>100</v>
      </c>
      <c r="I518" t="s">
        <v>38</v>
      </c>
      <c r="J518" t="s">
        <v>19</v>
      </c>
    </row>
    <row r="519" spans="1:10" x14ac:dyDescent="0.25">
      <c r="A519" s="1">
        <v>45024</v>
      </c>
      <c r="B519" t="s">
        <v>550</v>
      </c>
      <c r="C519" t="s">
        <v>16</v>
      </c>
      <c r="D519">
        <v>47</v>
      </c>
      <c r="E519" t="s">
        <v>17</v>
      </c>
      <c r="F519">
        <v>4</v>
      </c>
      <c r="G519">
        <v>25</v>
      </c>
      <c r="H519">
        <v>100</v>
      </c>
      <c r="I519" t="s">
        <v>29</v>
      </c>
      <c r="J519" t="s">
        <v>27</v>
      </c>
    </row>
    <row r="520" spans="1:10" x14ac:dyDescent="0.25">
      <c r="A520" s="1">
        <v>45057</v>
      </c>
      <c r="B520" t="s">
        <v>551</v>
      </c>
      <c r="C520" t="s">
        <v>16</v>
      </c>
      <c r="D520">
        <v>40</v>
      </c>
      <c r="E520" t="s">
        <v>17</v>
      </c>
      <c r="F520">
        <v>1</v>
      </c>
      <c r="G520">
        <v>30</v>
      </c>
      <c r="H520">
        <v>30</v>
      </c>
      <c r="I520" t="s">
        <v>24</v>
      </c>
      <c r="J520" t="s">
        <v>58</v>
      </c>
    </row>
    <row r="521" spans="1:10" x14ac:dyDescent="0.25">
      <c r="A521" s="1">
        <v>44949</v>
      </c>
      <c r="B521" t="s">
        <v>552</v>
      </c>
      <c r="C521" t="s">
        <v>16</v>
      </c>
      <c r="D521">
        <v>36</v>
      </c>
      <c r="E521" t="s">
        <v>21</v>
      </c>
      <c r="F521">
        <v>4</v>
      </c>
      <c r="G521">
        <v>30</v>
      </c>
      <c r="H521">
        <v>120</v>
      </c>
      <c r="I521" t="s">
        <v>22</v>
      </c>
      <c r="J521" t="s">
        <v>19</v>
      </c>
    </row>
    <row r="522" spans="1:10" x14ac:dyDescent="0.25">
      <c r="A522" s="1">
        <v>45289</v>
      </c>
      <c r="B522" t="s">
        <v>553</v>
      </c>
      <c r="C522" t="s">
        <v>16</v>
      </c>
      <c r="D522">
        <v>49</v>
      </c>
      <c r="E522" t="s">
        <v>21</v>
      </c>
      <c r="F522">
        <v>4</v>
      </c>
      <c r="G522">
        <v>25</v>
      </c>
      <c r="H522">
        <v>100</v>
      </c>
      <c r="I522" t="s">
        <v>36</v>
      </c>
      <c r="J522" t="s">
        <v>14</v>
      </c>
    </row>
    <row r="523" spans="1:10" x14ac:dyDescent="0.25">
      <c r="A523" s="1">
        <v>45150</v>
      </c>
      <c r="B523" t="s">
        <v>554</v>
      </c>
      <c r="C523" t="s">
        <v>16</v>
      </c>
      <c r="D523">
        <v>47</v>
      </c>
      <c r="E523" t="s">
        <v>17</v>
      </c>
      <c r="F523">
        <v>4</v>
      </c>
      <c r="G523">
        <v>30</v>
      </c>
      <c r="H523">
        <v>120</v>
      </c>
      <c r="I523" t="s">
        <v>42</v>
      </c>
      <c r="J523" t="s">
        <v>27</v>
      </c>
    </row>
    <row r="524" spans="1:10" x14ac:dyDescent="0.25">
      <c r="A524" s="1">
        <v>44927</v>
      </c>
      <c r="B524" t="s">
        <v>555</v>
      </c>
      <c r="C524" t="s">
        <v>11</v>
      </c>
      <c r="D524">
        <v>46</v>
      </c>
      <c r="E524" t="s">
        <v>12</v>
      </c>
      <c r="F524">
        <v>3</v>
      </c>
      <c r="G524">
        <v>500</v>
      </c>
      <c r="H524">
        <v>1500</v>
      </c>
      <c r="I524" t="s">
        <v>22</v>
      </c>
      <c r="J524" t="s">
        <v>25</v>
      </c>
    </row>
    <row r="525" spans="1:10" x14ac:dyDescent="0.25">
      <c r="A525" s="1">
        <v>45193</v>
      </c>
      <c r="B525" t="s">
        <v>556</v>
      </c>
      <c r="C525" t="s">
        <v>16</v>
      </c>
      <c r="D525">
        <v>62</v>
      </c>
      <c r="E525" t="s">
        <v>21</v>
      </c>
      <c r="F525">
        <v>1</v>
      </c>
      <c r="G525">
        <v>300</v>
      </c>
      <c r="H525">
        <v>300</v>
      </c>
      <c r="I525" t="s">
        <v>49</v>
      </c>
      <c r="J525" t="s">
        <v>25</v>
      </c>
    </row>
    <row r="526" spans="1:10" x14ac:dyDescent="0.25">
      <c r="A526" s="1">
        <v>45202</v>
      </c>
      <c r="B526" t="s">
        <v>557</v>
      </c>
      <c r="C526" t="s">
        <v>11</v>
      </c>
      <c r="D526">
        <v>46</v>
      </c>
      <c r="E526" t="s">
        <v>12</v>
      </c>
      <c r="F526">
        <v>4</v>
      </c>
      <c r="G526">
        <v>300</v>
      </c>
      <c r="H526">
        <v>1200</v>
      </c>
      <c r="I526" t="s">
        <v>38</v>
      </c>
      <c r="J526" t="s">
        <v>30</v>
      </c>
    </row>
    <row r="527" spans="1:10" x14ac:dyDescent="0.25">
      <c r="A527" s="1">
        <v>45278</v>
      </c>
      <c r="B527" t="s">
        <v>558</v>
      </c>
      <c r="C527" t="s">
        <v>16</v>
      </c>
      <c r="D527">
        <v>47</v>
      </c>
      <c r="E527" t="s">
        <v>12</v>
      </c>
      <c r="F527">
        <v>2</v>
      </c>
      <c r="G527">
        <v>25</v>
      </c>
      <c r="H527">
        <v>50</v>
      </c>
      <c r="I527" t="s">
        <v>36</v>
      </c>
      <c r="J527" t="s">
        <v>19</v>
      </c>
    </row>
    <row r="528" spans="1:10" x14ac:dyDescent="0.25">
      <c r="A528" s="1">
        <v>45270</v>
      </c>
      <c r="B528" t="s">
        <v>559</v>
      </c>
      <c r="C528" t="s">
        <v>11</v>
      </c>
      <c r="D528">
        <v>33</v>
      </c>
      <c r="E528" t="s">
        <v>17</v>
      </c>
      <c r="F528">
        <v>2</v>
      </c>
      <c r="G528">
        <v>50</v>
      </c>
      <c r="H528">
        <v>100</v>
      </c>
      <c r="I528" t="s">
        <v>36</v>
      </c>
      <c r="J528" t="s">
        <v>25</v>
      </c>
    </row>
    <row r="529" spans="1:10" x14ac:dyDescent="0.25">
      <c r="A529" s="1">
        <v>45027</v>
      </c>
      <c r="B529" t="s">
        <v>560</v>
      </c>
      <c r="C529" t="s">
        <v>11</v>
      </c>
      <c r="D529">
        <v>57</v>
      </c>
      <c r="E529" t="s">
        <v>17</v>
      </c>
      <c r="F529">
        <v>2</v>
      </c>
      <c r="G529">
        <v>25</v>
      </c>
      <c r="H529">
        <v>50</v>
      </c>
      <c r="I529" t="s">
        <v>29</v>
      </c>
      <c r="J529" t="s">
        <v>30</v>
      </c>
    </row>
    <row r="530" spans="1:10" x14ac:dyDescent="0.25">
      <c r="A530" s="1">
        <v>45113</v>
      </c>
      <c r="B530" t="s">
        <v>561</v>
      </c>
      <c r="C530" t="s">
        <v>16</v>
      </c>
      <c r="D530">
        <v>36</v>
      </c>
      <c r="E530" t="s">
        <v>17</v>
      </c>
      <c r="F530">
        <v>2</v>
      </c>
      <c r="G530">
        <v>30</v>
      </c>
      <c r="H530">
        <v>60</v>
      </c>
      <c r="I530" t="s">
        <v>76</v>
      </c>
      <c r="J530" t="s">
        <v>58</v>
      </c>
    </row>
    <row r="531" spans="1:10" x14ac:dyDescent="0.25">
      <c r="A531" s="1">
        <v>45147</v>
      </c>
      <c r="B531" t="s">
        <v>562</v>
      </c>
      <c r="C531" t="s">
        <v>16</v>
      </c>
      <c r="D531">
        <v>35</v>
      </c>
      <c r="E531" t="s">
        <v>17</v>
      </c>
      <c r="F531">
        <v>3</v>
      </c>
      <c r="G531">
        <v>50</v>
      </c>
      <c r="H531">
        <v>150</v>
      </c>
      <c r="I531" t="s">
        <v>42</v>
      </c>
      <c r="J531" t="s">
        <v>34</v>
      </c>
    </row>
    <row r="532" spans="1:10" x14ac:dyDescent="0.25">
      <c r="A532" s="1">
        <v>44962</v>
      </c>
      <c r="B532" t="s">
        <v>563</v>
      </c>
      <c r="C532" t="s">
        <v>16</v>
      </c>
      <c r="D532">
        <v>18</v>
      </c>
      <c r="E532" t="s">
        <v>21</v>
      </c>
      <c r="F532">
        <v>4</v>
      </c>
      <c r="G532">
        <v>30</v>
      </c>
      <c r="H532">
        <v>120</v>
      </c>
      <c r="I532" t="s">
        <v>18</v>
      </c>
      <c r="J532" t="s">
        <v>25</v>
      </c>
    </row>
    <row r="533" spans="1:10" x14ac:dyDescent="0.25">
      <c r="A533" s="1">
        <v>45267</v>
      </c>
      <c r="B533" t="s">
        <v>564</v>
      </c>
      <c r="C533" t="s">
        <v>11</v>
      </c>
      <c r="D533">
        <v>31</v>
      </c>
      <c r="E533" t="s">
        <v>21</v>
      </c>
      <c r="F533">
        <v>1</v>
      </c>
      <c r="G533">
        <v>500</v>
      </c>
      <c r="H533">
        <v>500</v>
      </c>
      <c r="I533" t="s">
        <v>36</v>
      </c>
      <c r="J533" t="s">
        <v>58</v>
      </c>
    </row>
    <row r="534" spans="1:10" x14ac:dyDescent="0.25">
      <c r="A534" s="1">
        <v>45096</v>
      </c>
      <c r="B534" t="s">
        <v>565</v>
      </c>
      <c r="C534" t="s">
        <v>16</v>
      </c>
      <c r="D534">
        <v>64</v>
      </c>
      <c r="E534" t="s">
        <v>17</v>
      </c>
      <c r="F534">
        <v>4</v>
      </c>
      <c r="G534">
        <v>30</v>
      </c>
      <c r="H534">
        <v>120</v>
      </c>
      <c r="I534" t="s">
        <v>68</v>
      </c>
      <c r="J534" t="s">
        <v>19</v>
      </c>
    </row>
    <row r="535" spans="1:10" x14ac:dyDescent="0.25">
      <c r="A535" s="1">
        <v>45246</v>
      </c>
      <c r="B535" t="s">
        <v>566</v>
      </c>
      <c r="C535" t="s">
        <v>11</v>
      </c>
      <c r="D535">
        <v>19</v>
      </c>
      <c r="E535" t="s">
        <v>21</v>
      </c>
      <c r="F535">
        <v>3</v>
      </c>
      <c r="G535">
        <v>500</v>
      </c>
      <c r="H535">
        <v>1500</v>
      </c>
      <c r="I535" t="s">
        <v>13</v>
      </c>
      <c r="J535" t="s">
        <v>58</v>
      </c>
    </row>
    <row r="536" spans="1:10" x14ac:dyDescent="0.25">
      <c r="A536" s="1">
        <v>45087</v>
      </c>
      <c r="B536" t="s">
        <v>567</v>
      </c>
      <c r="C536" t="s">
        <v>11</v>
      </c>
      <c r="D536">
        <v>45</v>
      </c>
      <c r="E536" t="s">
        <v>17</v>
      </c>
      <c r="F536">
        <v>2</v>
      </c>
      <c r="G536">
        <v>500</v>
      </c>
      <c r="H536">
        <v>1000</v>
      </c>
      <c r="I536" t="s">
        <v>68</v>
      </c>
      <c r="J536" t="s">
        <v>27</v>
      </c>
    </row>
    <row r="537" spans="1:10" x14ac:dyDescent="0.25">
      <c r="A537" s="1">
        <v>45266</v>
      </c>
      <c r="B537" t="s">
        <v>568</v>
      </c>
      <c r="C537" t="s">
        <v>11</v>
      </c>
      <c r="D537">
        <v>47</v>
      </c>
      <c r="E537" t="s">
        <v>12</v>
      </c>
      <c r="F537">
        <v>3</v>
      </c>
      <c r="G537">
        <v>30</v>
      </c>
      <c r="H537">
        <v>90</v>
      </c>
      <c r="I537" t="s">
        <v>36</v>
      </c>
      <c r="J537" t="s">
        <v>34</v>
      </c>
    </row>
    <row r="538" spans="1:10" x14ac:dyDescent="0.25">
      <c r="A538" s="1">
        <v>44990</v>
      </c>
      <c r="B538" t="s">
        <v>569</v>
      </c>
      <c r="C538" t="s">
        <v>16</v>
      </c>
      <c r="D538">
        <v>55</v>
      </c>
      <c r="E538" t="s">
        <v>12</v>
      </c>
      <c r="F538">
        <v>4</v>
      </c>
      <c r="G538">
        <v>30</v>
      </c>
      <c r="H538">
        <v>120</v>
      </c>
      <c r="I538" t="s">
        <v>32</v>
      </c>
      <c r="J538" t="s">
        <v>25</v>
      </c>
    </row>
    <row r="539" spans="1:10" x14ac:dyDescent="0.25">
      <c r="A539" s="1">
        <v>45080</v>
      </c>
      <c r="B539" t="s">
        <v>570</v>
      </c>
      <c r="C539" t="s">
        <v>16</v>
      </c>
      <c r="D539">
        <v>21</v>
      </c>
      <c r="E539" t="s">
        <v>12</v>
      </c>
      <c r="F539">
        <v>1</v>
      </c>
      <c r="G539">
        <v>500</v>
      </c>
      <c r="H539">
        <v>500</v>
      </c>
      <c r="I539" t="s">
        <v>68</v>
      </c>
      <c r="J539" t="s">
        <v>27</v>
      </c>
    </row>
    <row r="540" spans="1:10" x14ac:dyDescent="0.25">
      <c r="A540" s="1">
        <v>45186</v>
      </c>
      <c r="B540" t="s">
        <v>571</v>
      </c>
      <c r="C540" t="s">
        <v>11</v>
      </c>
      <c r="D540">
        <v>18</v>
      </c>
      <c r="E540" t="s">
        <v>17</v>
      </c>
      <c r="F540">
        <v>3</v>
      </c>
      <c r="G540">
        <v>50</v>
      </c>
      <c r="H540">
        <v>150</v>
      </c>
      <c r="I540" t="s">
        <v>49</v>
      </c>
      <c r="J540" t="s">
        <v>25</v>
      </c>
    </row>
    <row r="541" spans="1:10" x14ac:dyDescent="0.25">
      <c r="A541" s="1">
        <v>45085</v>
      </c>
      <c r="B541" t="s">
        <v>572</v>
      </c>
      <c r="C541" t="s">
        <v>11</v>
      </c>
      <c r="D541">
        <v>25</v>
      </c>
      <c r="E541" t="s">
        <v>12</v>
      </c>
      <c r="F541">
        <v>1</v>
      </c>
      <c r="G541">
        <v>500</v>
      </c>
      <c r="H541">
        <v>500</v>
      </c>
      <c r="I541" t="s">
        <v>68</v>
      </c>
      <c r="J541" t="s">
        <v>58</v>
      </c>
    </row>
    <row r="542" spans="1:10" x14ac:dyDescent="0.25">
      <c r="A542" s="1">
        <v>45268</v>
      </c>
      <c r="B542" t="s">
        <v>573</v>
      </c>
      <c r="C542" t="s">
        <v>16</v>
      </c>
      <c r="D542">
        <v>46</v>
      </c>
      <c r="E542" t="s">
        <v>21</v>
      </c>
      <c r="F542">
        <v>3</v>
      </c>
      <c r="G542">
        <v>300</v>
      </c>
      <c r="H542">
        <v>900</v>
      </c>
      <c r="I542" t="s">
        <v>36</v>
      </c>
      <c r="J542" t="s">
        <v>14</v>
      </c>
    </row>
    <row r="543" spans="1:10" x14ac:dyDescent="0.25">
      <c r="A543" s="1">
        <v>45136</v>
      </c>
      <c r="B543" t="s">
        <v>574</v>
      </c>
      <c r="C543" t="s">
        <v>11</v>
      </c>
      <c r="D543">
        <v>56</v>
      </c>
      <c r="E543" t="s">
        <v>12</v>
      </c>
      <c r="F543">
        <v>1</v>
      </c>
      <c r="G543">
        <v>500</v>
      </c>
      <c r="H543">
        <v>500</v>
      </c>
      <c r="I543" t="s">
        <v>76</v>
      </c>
      <c r="J543" t="s">
        <v>27</v>
      </c>
    </row>
    <row r="544" spans="1:10" x14ac:dyDescent="0.25">
      <c r="A544" s="1">
        <v>45094</v>
      </c>
      <c r="B544" t="s">
        <v>575</v>
      </c>
      <c r="C544" t="s">
        <v>16</v>
      </c>
      <c r="D544">
        <v>20</v>
      </c>
      <c r="E544" t="s">
        <v>12</v>
      </c>
      <c r="F544">
        <v>1</v>
      </c>
      <c r="G544">
        <v>50</v>
      </c>
      <c r="H544">
        <v>50</v>
      </c>
      <c r="I544" t="s">
        <v>68</v>
      </c>
      <c r="J544" t="s">
        <v>27</v>
      </c>
    </row>
    <row r="545" spans="1:10" x14ac:dyDescent="0.25">
      <c r="A545" s="1">
        <v>45133</v>
      </c>
      <c r="B545" t="s">
        <v>576</v>
      </c>
      <c r="C545" t="s">
        <v>11</v>
      </c>
      <c r="D545">
        <v>49</v>
      </c>
      <c r="E545" t="s">
        <v>12</v>
      </c>
      <c r="F545">
        <v>2</v>
      </c>
      <c r="G545">
        <v>300</v>
      </c>
      <c r="H545">
        <v>600</v>
      </c>
      <c r="I545" t="s">
        <v>76</v>
      </c>
      <c r="J545" t="s">
        <v>34</v>
      </c>
    </row>
    <row r="546" spans="1:10" x14ac:dyDescent="0.25">
      <c r="A546" s="1">
        <v>45283</v>
      </c>
      <c r="B546" t="s">
        <v>577</v>
      </c>
      <c r="C546" t="s">
        <v>16</v>
      </c>
      <c r="D546">
        <v>27</v>
      </c>
      <c r="E546" t="s">
        <v>21</v>
      </c>
      <c r="F546">
        <v>1</v>
      </c>
      <c r="G546">
        <v>25</v>
      </c>
      <c r="H546">
        <v>25</v>
      </c>
      <c r="I546" t="s">
        <v>36</v>
      </c>
      <c r="J546" t="s">
        <v>27</v>
      </c>
    </row>
    <row r="547" spans="1:10" x14ac:dyDescent="0.25">
      <c r="A547" s="1">
        <v>45078</v>
      </c>
      <c r="B547" t="s">
        <v>578</v>
      </c>
      <c r="C547" t="s">
        <v>11</v>
      </c>
      <c r="D547">
        <v>27</v>
      </c>
      <c r="E547" t="s">
        <v>17</v>
      </c>
      <c r="F547">
        <v>2</v>
      </c>
      <c r="G547">
        <v>25</v>
      </c>
      <c r="H547">
        <v>50</v>
      </c>
      <c r="I547" t="s">
        <v>68</v>
      </c>
      <c r="J547" t="s">
        <v>58</v>
      </c>
    </row>
    <row r="548" spans="1:10" x14ac:dyDescent="0.25">
      <c r="A548" s="1">
        <v>45210</v>
      </c>
      <c r="B548" t="s">
        <v>579</v>
      </c>
      <c r="C548" t="s">
        <v>16</v>
      </c>
      <c r="D548">
        <v>36</v>
      </c>
      <c r="E548" t="s">
        <v>21</v>
      </c>
      <c r="F548">
        <v>4</v>
      </c>
      <c r="G548">
        <v>50</v>
      </c>
      <c r="H548">
        <v>200</v>
      </c>
      <c r="I548" t="s">
        <v>38</v>
      </c>
      <c r="J548" t="s">
        <v>34</v>
      </c>
    </row>
    <row r="549" spans="1:10" x14ac:dyDescent="0.25">
      <c r="A549" s="1">
        <v>44992</v>
      </c>
      <c r="B549" t="s">
        <v>580</v>
      </c>
      <c r="C549" t="s">
        <v>11</v>
      </c>
      <c r="D549">
        <v>63</v>
      </c>
      <c r="E549" t="s">
        <v>17</v>
      </c>
      <c r="F549">
        <v>4</v>
      </c>
      <c r="G549">
        <v>500</v>
      </c>
      <c r="H549">
        <v>2000</v>
      </c>
      <c r="I549" t="s">
        <v>32</v>
      </c>
      <c r="J549" t="s">
        <v>30</v>
      </c>
    </row>
    <row r="550" spans="1:10" x14ac:dyDescent="0.25">
      <c r="A550" s="1">
        <v>45025</v>
      </c>
      <c r="B550" t="s">
        <v>581</v>
      </c>
      <c r="C550" t="s">
        <v>16</v>
      </c>
      <c r="D550">
        <v>51</v>
      </c>
      <c r="E550" t="s">
        <v>17</v>
      </c>
      <c r="F550">
        <v>2</v>
      </c>
      <c r="G550">
        <v>30</v>
      </c>
      <c r="H550">
        <v>60</v>
      </c>
      <c r="I550" t="s">
        <v>29</v>
      </c>
      <c r="J550" t="s">
        <v>25</v>
      </c>
    </row>
    <row r="551" spans="1:10" x14ac:dyDescent="0.25">
      <c r="A551" s="1">
        <v>45142</v>
      </c>
      <c r="B551" t="s">
        <v>582</v>
      </c>
      <c r="C551" t="s">
        <v>16</v>
      </c>
      <c r="D551">
        <v>50</v>
      </c>
      <c r="E551" t="s">
        <v>12</v>
      </c>
      <c r="F551">
        <v>2</v>
      </c>
      <c r="G551">
        <v>50</v>
      </c>
      <c r="H551">
        <v>100</v>
      </c>
      <c r="I551" t="s">
        <v>42</v>
      </c>
      <c r="J551" t="s">
        <v>14</v>
      </c>
    </row>
    <row r="552" spans="1:10" x14ac:dyDescent="0.25">
      <c r="A552" s="1">
        <v>45267</v>
      </c>
      <c r="B552" t="s">
        <v>583</v>
      </c>
      <c r="C552" t="s">
        <v>11</v>
      </c>
      <c r="D552">
        <v>40</v>
      </c>
      <c r="E552" t="s">
        <v>17</v>
      </c>
      <c r="F552">
        <v>3</v>
      </c>
      <c r="G552">
        <v>300</v>
      </c>
      <c r="H552">
        <v>900</v>
      </c>
      <c r="I552" t="s">
        <v>36</v>
      </c>
      <c r="J552" t="s">
        <v>58</v>
      </c>
    </row>
    <row r="553" spans="1:10" x14ac:dyDescent="0.25">
      <c r="A553" s="1">
        <v>45121</v>
      </c>
      <c r="B553" t="s">
        <v>584</v>
      </c>
      <c r="C553" t="s">
        <v>11</v>
      </c>
      <c r="D553">
        <v>45</v>
      </c>
      <c r="E553" t="s">
        <v>21</v>
      </c>
      <c r="F553">
        <v>3</v>
      </c>
      <c r="G553">
        <v>300</v>
      </c>
      <c r="H553">
        <v>900</v>
      </c>
      <c r="I553" t="s">
        <v>76</v>
      </c>
      <c r="J553" t="s">
        <v>14</v>
      </c>
    </row>
    <row r="554" spans="1:10" x14ac:dyDescent="0.25">
      <c r="A554" s="1">
        <v>45273</v>
      </c>
      <c r="B554" t="s">
        <v>585</v>
      </c>
      <c r="C554" t="s">
        <v>16</v>
      </c>
      <c r="D554">
        <v>49</v>
      </c>
      <c r="E554" t="s">
        <v>21</v>
      </c>
      <c r="F554">
        <v>3</v>
      </c>
      <c r="G554">
        <v>25</v>
      </c>
      <c r="H554">
        <v>75</v>
      </c>
      <c r="I554" t="s">
        <v>36</v>
      </c>
      <c r="J554" t="s">
        <v>34</v>
      </c>
    </row>
    <row r="555" spans="1:10" x14ac:dyDescent="0.25">
      <c r="A555" s="1">
        <v>45016</v>
      </c>
      <c r="B555" t="s">
        <v>586</v>
      </c>
      <c r="C555" t="s">
        <v>11</v>
      </c>
      <c r="D555">
        <v>24</v>
      </c>
      <c r="E555" t="s">
        <v>17</v>
      </c>
      <c r="F555">
        <v>4</v>
      </c>
      <c r="G555">
        <v>300</v>
      </c>
      <c r="H555">
        <v>1200</v>
      </c>
      <c r="I555" t="s">
        <v>32</v>
      </c>
      <c r="J555" t="s">
        <v>14</v>
      </c>
    </row>
    <row r="556" spans="1:10" x14ac:dyDescent="0.25">
      <c r="A556" s="1">
        <v>45242</v>
      </c>
      <c r="B556" t="s">
        <v>587</v>
      </c>
      <c r="C556" t="s">
        <v>16</v>
      </c>
      <c r="D556">
        <v>46</v>
      </c>
      <c r="E556" t="s">
        <v>12</v>
      </c>
      <c r="F556">
        <v>3</v>
      </c>
      <c r="G556">
        <v>50</v>
      </c>
      <c r="H556">
        <v>150</v>
      </c>
      <c r="I556" t="s">
        <v>13</v>
      </c>
      <c r="J556" t="s">
        <v>25</v>
      </c>
    </row>
    <row r="557" spans="1:10" x14ac:dyDescent="0.25">
      <c r="A557" s="1">
        <v>45218</v>
      </c>
      <c r="B557" t="s">
        <v>588</v>
      </c>
      <c r="C557" t="s">
        <v>11</v>
      </c>
      <c r="D557">
        <v>25</v>
      </c>
      <c r="E557" t="s">
        <v>12</v>
      </c>
      <c r="F557">
        <v>1</v>
      </c>
      <c r="G557">
        <v>300</v>
      </c>
      <c r="H557">
        <v>300</v>
      </c>
      <c r="I557" t="s">
        <v>38</v>
      </c>
      <c r="J557" t="s">
        <v>58</v>
      </c>
    </row>
    <row r="558" spans="1:10" x14ac:dyDescent="0.25">
      <c r="A558" s="1">
        <v>45081</v>
      </c>
      <c r="B558" t="s">
        <v>589</v>
      </c>
      <c r="C558" t="s">
        <v>16</v>
      </c>
      <c r="D558">
        <v>18</v>
      </c>
      <c r="E558" t="s">
        <v>21</v>
      </c>
      <c r="F558">
        <v>1</v>
      </c>
      <c r="G558">
        <v>50</v>
      </c>
      <c r="H558">
        <v>50</v>
      </c>
      <c r="I558" t="s">
        <v>68</v>
      </c>
      <c r="J558" t="s">
        <v>25</v>
      </c>
    </row>
    <row r="559" spans="1:10" x14ac:dyDescent="0.25">
      <c r="A559" s="1">
        <v>45134</v>
      </c>
      <c r="B559" t="s">
        <v>590</v>
      </c>
      <c r="C559" t="s">
        <v>16</v>
      </c>
      <c r="D559">
        <v>20</v>
      </c>
      <c r="E559" t="s">
        <v>12</v>
      </c>
      <c r="F559">
        <v>3</v>
      </c>
      <c r="G559">
        <v>30</v>
      </c>
      <c r="H559">
        <v>90</v>
      </c>
      <c r="I559" t="s">
        <v>76</v>
      </c>
      <c r="J559" t="s">
        <v>58</v>
      </c>
    </row>
    <row r="560" spans="1:10" x14ac:dyDescent="0.25">
      <c r="A560" s="1">
        <v>45207</v>
      </c>
      <c r="B560" t="s">
        <v>591</v>
      </c>
      <c r="C560" t="s">
        <v>16</v>
      </c>
      <c r="D560">
        <v>41</v>
      </c>
      <c r="E560" t="s">
        <v>17</v>
      </c>
      <c r="F560">
        <v>1</v>
      </c>
      <c r="G560">
        <v>25</v>
      </c>
      <c r="H560">
        <v>25</v>
      </c>
      <c r="I560" t="s">
        <v>38</v>
      </c>
      <c r="J560" t="s">
        <v>25</v>
      </c>
    </row>
    <row r="561" spans="1:10" x14ac:dyDescent="0.25">
      <c r="A561" s="1">
        <v>44927</v>
      </c>
      <c r="B561" t="s">
        <v>592</v>
      </c>
      <c r="C561" t="s">
        <v>16</v>
      </c>
      <c r="D561">
        <v>40</v>
      </c>
      <c r="E561" t="s">
        <v>17</v>
      </c>
      <c r="F561">
        <v>4</v>
      </c>
      <c r="G561">
        <v>300</v>
      </c>
      <c r="H561">
        <v>1200</v>
      </c>
      <c r="I561" t="s">
        <v>22</v>
      </c>
      <c r="J561" t="s">
        <v>25</v>
      </c>
    </row>
    <row r="562" spans="1:10" x14ac:dyDescent="0.25">
      <c r="A562" s="1">
        <v>45082</v>
      </c>
      <c r="B562" t="s">
        <v>593</v>
      </c>
      <c r="C562" t="s">
        <v>16</v>
      </c>
      <c r="D562">
        <v>25</v>
      </c>
      <c r="E562" t="s">
        <v>21</v>
      </c>
      <c r="F562">
        <v>1</v>
      </c>
      <c r="G562">
        <v>50</v>
      </c>
      <c r="H562">
        <v>50</v>
      </c>
      <c r="I562" t="s">
        <v>68</v>
      </c>
      <c r="J562" t="s">
        <v>19</v>
      </c>
    </row>
    <row r="563" spans="1:10" x14ac:dyDescent="0.25">
      <c r="A563" s="1">
        <v>45073</v>
      </c>
      <c r="B563" t="s">
        <v>594</v>
      </c>
      <c r="C563" t="s">
        <v>16</v>
      </c>
      <c r="D563">
        <v>64</v>
      </c>
      <c r="E563" t="s">
        <v>17</v>
      </c>
      <c r="F563">
        <v>4</v>
      </c>
      <c r="G563">
        <v>500</v>
      </c>
      <c r="H563">
        <v>2000</v>
      </c>
      <c r="I563" t="s">
        <v>24</v>
      </c>
      <c r="J563" t="s">
        <v>27</v>
      </c>
    </row>
    <row r="564" spans="1:10" x14ac:dyDescent="0.25">
      <c r="A564" s="1">
        <v>45034</v>
      </c>
      <c r="B564" t="s">
        <v>595</v>
      </c>
      <c r="C564" t="s">
        <v>11</v>
      </c>
      <c r="D564">
        <v>54</v>
      </c>
      <c r="E564" t="s">
        <v>21</v>
      </c>
      <c r="F564">
        <v>2</v>
      </c>
      <c r="G564">
        <v>25</v>
      </c>
      <c r="H564">
        <v>50</v>
      </c>
      <c r="I564" t="s">
        <v>29</v>
      </c>
      <c r="J564" t="s">
        <v>30</v>
      </c>
    </row>
    <row r="565" spans="1:10" x14ac:dyDescent="0.25">
      <c r="A565" s="1">
        <v>45147</v>
      </c>
      <c r="B565" t="s">
        <v>596</v>
      </c>
      <c r="C565" t="s">
        <v>11</v>
      </c>
      <c r="D565">
        <v>20</v>
      </c>
      <c r="E565" t="s">
        <v>17</v>
      </c>
      <c r="F565">
        <v>2</v>
      </c>
      <c r="G565">
        <v>30</v>
      </c>
      <c r="H565">
        <v>60</v>
      </c>
      <c r="I565" t="s">
        <v>42</v>
      </c>
      <c r="J565" t="s">
        <v>34</v>
      </c>
    </row>
    <row r="566" spans="1:10" x14ac:dyDescent="0.25">
      <c r="A566" s="1">
        <v>45223</v>
      </c>
      <c r="B566" t="s">
        <v>597</v>
      </c>
      <c r="C566" t="s">
        <v>11</v>
      </c>
      <c r="D566">
        <v>50</v>
      </c>
      <c r="E566" t="s">
        <v>21</v>
      </c>
      <c r="F566">
        <v>2</v>
      </c>
      <c r="G566">
        <v>50</v>
      </c>
      <c r="H566">
        <v>100</v>
      </c>
      <c r="I566" t="s">
        <v>38</v>
      </c>
      <c r="J566" t="s">
        <v>30</v>
      </c>
    </row>
    <row r="567" spans="1:10" x14ac:dyDescent="0.25">
      <c r="A567" s="1">
        <v>45237</v>
      </c>
      <c r="B567" t="s">
        <v>598</v>
      </c>
      <c r="C567" t="s">
        <v>16</v>
      </c>
      <c r="D567">
        <v>45</v>
      </c>
      <c r="E567" t="s">
        <v>12</v>
      </c>
      <c r="F567">
        <v>2</v>
      </c>
      <c r="G567">
        <v>30</v>
      </c>
      <c r="H567">
        <v>60</v>
      </c>
      <c r="I567" t="s">
        <v>13</v>
      </c>
      <c r="J567" t="s">
        <v>30</v>
      </c>
    </row>
    <row r="568" spans="1:10" x14ac:dyDescent="0.25">
      <c r="A568" s="1">
        <v>45262</v>
      </c>
      <c r="B568" t="s">
        <v>599</v>
      </c>
      <c r="C568" t="s">
        <v>16</v>
      </c>
      <c r="D568">
        <v>64</v>
      </c>
      <c r="E568" t="s">
        <v>17</v>
      </c>
      <c r="F568">
        <v>1</v>
      </c>
      <c r="G568">
        <v>30</v>
      </c>
      <c r="H568">
        <v>30</v>
      </c>
      <c r="I568" t="s">
        <v>36</v>
      </c>
      <c r="J568" t="s">
        <v>27</v>
      </c>
    </row>
    <row r="569" spans="1:10" x14ac:dyDescent="0.25">
      <c r="A569" s="1">
        <v>45091</v>
      </c>
      <c r="B569" t="s">
        <v>600</v>
      </c>
      <c r="C569" t="s">
        <v>16</v>
      </c>
      <c r="D569">
        <v>25</v>
      </c>
      <c r="E569" t="s">
        <v>17</v>
      </c>
      <c r="F569">
        <v>3</v>
      </c>
      <c r="G569">
        <v>300</v>
      </c>
      <c r="H569">
        <v>900</v>
      </c>
      <c r="I569" t="s">
        <v>68</v>
      </c>
      <c r="J569" t="s">
        <v>34</v>
      </c>
    </row>
    <row r="570" spans="1:10" x14ac:dyDescent="0.25">
      <c r="A570" s="1">
        <v>45165</v>
      </c>
      <c r="B570" t="s">
        <v>601</v>
      </c>
      <c r="C570" t="s">
        <v>16</v>
      </c>
      <c r="D570">
        <v>51</v>
      </c>
      <c r="E570" t="s">
        <v>21</v>
      </c>
      <c r="F570">
        <v>1</v>
      </c>
      <c r="G570">
        <v>300</v>
      </c>
      <c r="H570">
        <v>300</v>
      </c>
      <c r="I570" t="s">
        <v>42</v>
      </c>
      <c r="J570" t="s">
        <v>25</v>
      </c>
    </row>
    <row r="571" spans="1:10" x14ac:dyDescent="0.25">
      <c r="A571" s="1">
        <v>45153</v>
      </c>
      <c r="B571" t="s">
        <v>602</v>
      </c>
      <c r="C571" t="s">
        <v>11</v>
      </c>
      <c r="D571">
        <v>52</v>
      </c>
      <c r="E571" t="s">
        <v>21</v>
      </c>
      <c r="F571">
        <v>4</v>
      </c>
      <c r="G571">
        <v>50</v>
      </c>
      <c r="H571">
        <v>200</v>
      </c>
      <c r="I571" t="s">
        <v>42</v>
      </c>
      <c r="J571" t="s">
        <v>30</v>
      </c>
    </row>
    <row r="572" spans="1:10" x14ac:dyDescent="0.25">
      <c r="A572" s="1">
        <v>45153</v>
      </c>
      <c r="B572" t="s">
        <v>603</v>
      </c>
      <c r="C572" t="s">
        <v>11</v>
      </c>
      <c r="D572">
        <v>49</v>
      </c>
      <c r="E572" t="s">
        <v>17</v>
      </c>
      <c r="F572">
        <v>1</v>
      </c>
      <c r="G572">
        <v>500</v>
      </c>
      <c r="H572">
        <v>500</v>
      </c>
      <c r="I572" t="s">
        <v>42</v>
      </c>
      <c r="J572" t="s">
        <v>30</v>
      </c>
    </row>
    <row r="573" spans="1:10" x14ac:dyDescent="0.25">
      <c r="A573" s="1">
        <v>45272</v>
      </c>
      <c r="B573" t="s">
        <v>604</v>
      </c>
      <c r="C573" t="s">
        <v>16</v>
      </c>
      <c r="D573">
        <v>41</v>
      </c>
      <c r="E573" t="s">
        <v>21</v>
      </c>
      <c r="F573">
        <v>1</v>
      </c>
      <c r="G573">
        <v>50</v>
      </c>
      <c r="H573">
        <v>50</v>
      </c>
      <c r="I573" t="s">
        <v>36</v>
      </c>
      <c r="J573" t="s">
        <v>30</v>
      </c>
    </row>
    <row r="574" spans="1:10" x14ac:dyDescent="0.25">
      <c r="A574" s="1">
        <v>45036</v>
      </c>
      <c r="B574" t="s">
        <v>605</v>
      </c>
      <c r="C574" t="s">
        <v>11</v>
      </c>
      <c r="D574">
        <v>31</v>
      </c>
      <c r="E574" t="s">
        <v>17</v>
      </c>
      <c r="F574">
        <v>4</v>
      </c>
      <c r="G574">
        <v>500</v>
      </c>
      <c r="H574">
        <v>2000</v>
      </c>
      <c r="I574" t="s">
        <v>29</v>
      </c>
      <c r="J574" t="s">
        <v>58</v>
      </c>
    </row>
    <row r="575" spans="1:10" x14ac:dyDescent="0.25">
      <c r="A575" s="1">
        <v>45188</v>
      </c>
      <c r="B575" t="s">
        <v>606</v>
      </c>
      <c r="C575" t="s">
        <v>11</v>
      </c>
      <c r="D575">
        <v>49</v>
      </c>
      <c r="E575" t="s">
        <v>12</v>
      </c>
      <c r="F575">
        <v>2</v>
      </c>
      <c r="G575">
        <v>30</v>
      </c>
      <c r="H575">
        <v>60</v>
      </c>
      <c r="I575" t="s">
        <v>49</v>
      </c>
      <c r="J575" t="s">
        <v>30</v>
      </c>
    </row>
    <row r="576" spans="1:10" x14ac:dyDescent="0.25">
      <c r="A576" s="1">
        <v>45169</v>
      </c>
      <c r="B576" t="s">
        <v>607</v>
      </c>
      <c r="C576" t="s">
        <v>16</v>
      </c>
      <c r="D576">
        <v>63</v>
      </c>
      <c r="E576" t="s">
        <v>21</v>
      </c>
      <c r="F576">
        <v>2</v>
      </c>
      <c r="G576">
        <v>25</v>
      </c>
      <c r="H576">
        <v>50</v>
      </c>
      <c r="I576" t="s">
        <v>42</v>
      </c>
      <c r="J576" t="s">
        <v>58</v>
      </c>
    </row>
    <row r="577" spans="1:10" x14ac:dyDescent="0.25">
      <c r="A577" s="1">
        <v>45013</v>
      </c>
      <c r="B577" t="s">
        <v>608</v>
      </c>
      <c r="C577" t="s">
        <v>11</v>
      </c>
      <c r="D577">
        <v>60</v>
      </c>
      <c r="E577" t="s">
        <v>17</v>
      </c>
      <c r="F577">
        <v>2</v>
      </c>
      <c r="G577">
        <v>50</v>
      </c>
      <c r="H577">
        <v>100</v>
      </c>
      <c r="I577" t="s">
        <v>32</v>
      </c>
      <c r="J577" t="s">
        <v>30</v>
      </c>
    </row>
    <row r="578" spans="1:10" x14ac:dyDescent="0.25">
      <c r="A578" s="1">
        <v>45264</v>
      </c>
      <c r="B578" t="s">
        <v>609</v>
      </c>
      <c r="C578" t="s">
        <v>16</v>
      </c>
      <c r="D578">
        <v>33</v>
      </c>
      <c r="E578" t="s">
        <v>12</v>
      </c>
      <c r="F578">
        <v>3</v>
      </c>
      <c r="G578">
        <v>50</v>
      </c>
      <c r="H578">
        <v>150</v>
      </c>
      <c r="I578" t="s">
        <v>36</v>
      </c>
      <c r="J578" t="s">
        <v>19</v>
      </c>
    </row>
    <row r="579" spans="1:10" x14ac:dyDescent="0.25">
      <c r="A579" s="1">
        <v>44970</v>
      </c>
      <c r="B579" t="s">
        <v>610</v>
      </c>
      <c r="C579" t="s">
        <v>11</v>
      </c>
      <c r="D579">
        <v>21</v>
      </c>
      <c r="E579" t="s">
        <v>12</v>
      </c>
      <c r="F579">
        <v>4</v>
      </c>
      <c r="G579">
        <v>500</v>
      </c>
      <c r="H579">
        <v>2000</v>
      </c>
      <c r="I579" t="s">
        <v>18</v>
      </c>
      <c r="J579" t="s">
        <v>19</v>
      </c>
    </row>
    <row r="580" spans="1:10" x14ac:dyDescent="0.25">
      <c r="A580" s="1">
        <v>45072</v>
      </c>
      <c r="B580" t="s">
        <v>611</v>
      </c>
      <c r="C580" t="s">
        <v>16</v>
      </c>
      <c r="D580">
        <v>54</v>
      </c>
      <c r="E580" t="s">
        <v>17</v>
      </c>
      <c r="F580">
        <v>4</v>
      </c>
      <c r="G580">
        <v>30</v>
      </c>
      <c r="H580">
        <v>120</v>
      </c>
      <c r="I580" t="s">
        <v>24</v>
      </c>
      <c r="J580" t="s">
        <v>14</v>
      </c>
    </row>
    <row r="581" spans="1:10" x14ac:dyDescent="0.25">
      <c r="A581" s="1">
        <v>45190</v>
      </c>
      <c r="B581" t="s">
        <v>612</v>
      </c>
      <c r="C581" t="s">
        <v>16</v>
      </c>
      <c r="D581">
        <v>38</v>
      </c>
      <c r="E581" t="s">
        <v>21</v>
      </c>
      <c r="F581">
        <v>1</v>
      </c>
      <c r="G581">
        <v>30</v>
      </c>
      <c r="H581">
        <v>30</v>
      </c>
      <c r="I581" t="s">
        <v>49</v>
      </c>
      <c r="J581" t="s">
        <v>58</v>
      </c>
    </row>
    <row r="582" spans="1:10" x14ac:dyDescent="0.25">
      <c r="A582" s="1">
        <v>45266</v>
      </c>
      <c r="B582" t="s">
        <v>613</v>
      </c>
      <c r="C582" t="s">
        <v>16</v>
      </c>
      <c r="D582">
        <v>31</v>
      </c>
      <c r="E582" t="s">
        <v>17</v>
      </c>
      <c r="F582">
        <v>3</v>
      </c>
      <c r="G582">
        <v>500</v>
      </c>
      <c r="H582">
        <v>1500</v>
      </c>
      <c r="I582" t="s">
        <v>36</v>
      </c>
      <c r="J582" t="s">
        <v>34</v>
      </c>
    </row>
    <row r="583" spans="1:10" x14ac:dyDescent="0.25">
      <c r="A583" s="1">
        <v>45251</v>
      </c>
      <c r="B583" t="s">
        <v>614</v>
      </c>
      <c r="C583" t="s">
        <v>16</v>
      </c>
      <c r="D583">
        <v>48</v>
      </c>
      <c r="E583" t="s">
        <v>12</v>
      </c>
      <c r="F583">
        <v>2</v>
      </c>
      <c r="G583">
        <v>30</v>
      </c>
      <c r="H583">
        <v>60</v>
      </c>
      <c r="I583" t="s">
        <v>13</v>
      </c>
      <c r="J583" t="s">
        <v>30</v>
      </c>
    </row>
    <row r="584" spans="1:10" x14ac:dyDescent="0.25">
      <c r="A584" s="1">
        <v>45244</v>
      </c>
      <c r="B584" t="s">
        <v>615</v>
      </c>
      <c r="C584" t="s">
        <v>11</v>
      </c>
      <c r="D584">
        <v>35</v>
      </c>
      <c r="E584" t="s">
        <v>17</v>
      </c>
      <c r="F584">
        <v>3</v>
      </c>
      <c r="G584">
        <v>300</v>
      </c>
      <c r="H584">
        <v>900</v>
      </c>
      <c r="I584" t="s">
        <v>13</v>
      </c>
      <c r="J584" t="s">
        <v>30</v>
      </c>
    </row>
    <row r="585" spans="1:10" x14ac:dyDescent="0.25">
      <c r="A585" s="1">
        <v>45098</v>
      </c>
      <c r="B585" t="s">
        <v>616</v>
      </c>
      <c r="C585" t="s">
        <v>16</v>
      </c>
      <c r="D585">
        <v>24</v>
      </c>
      <c r="E585" t="s">
        <v>21</v>
      </c>
      <c r="F585">
        <v>4</v>
      </c>
      <c r="G585">
        <v>25</v>
      </c>
      <c r="H585">
        <v>100</v>
      </c>
      <c r="I585" t="s">
        <v>68</v>
      </c>
      <c r="J585" t="s">
        <v>34</v>
      </c>
    </row>
    <row r="586" spans="1:10" x14ac:dyDescent="0.25">
      <c r="A586" s="1">
        <v>44974</v>
      </c>
      <c r="B586" t="s">
        <v>617</v>
      </c>
      <c r="C586" t="s">
        <v>16</v>
      </c>
      <c r="D586">
        <v>27</v>
      </c>
      <c r="E586" t="s">
        <v>12</v>
      </c>
      <c r="F586">
        <v>4</v>
      </c>
      <c r="G586">
        <v>50</v>
      </c>
      <c r="H586">
        <v>200</v>
      </c>
      <c r="I586" t="s">
        <v>18</v>
      </c>
      <c r="J586" t="s">
        <v>14</v>
      </c>
    </row>
    <row r="587" spans="1:10" x14ac:dyDescent="0.25">
      <c r="A587" s="1">
        <v>45047</v>
      </c>
      <c r="B587" t="s">
        <v>618</v>
      </c>
      <c r="C587" t="s">
        <v>16</v>
      </c>
      <c r="D587">
        <v>24</v>
      </c>
      <c r="E587" t="s">
        <v>17</v>
      </c>
      <c r="F587">
        <v>1</v>
      </c>
      <c r="G587">
        <v>25</v>
      </c>
      <c r="H587">
        <v>25</v>
      </c>
      <c r="I587" t="s">
        <v>24</v>
      </c>
      <c r="J587" t="s">
        <v>19</v>
      </c>
    </row>
    <row r="588" spans="1:10" x14ac:dyDescent="0.25">
      <c r="A588" s="1">
        <v>45271</v>
      </c>
      <c r="B588" t="s">
        <v>619</v>
      </c>
      <c r="C588" t="s">
        <v>11</v>
      </c>
      <c r="D588">
        <v>50</v>
      </c>
      <c r="E588" t="s">
        <v>21</v>
      </c>
      <c r="F588">
        <v>1</v>
      </c>
      <c r="G588">
        <v>50</v>
      </c>
      <c r="H588">
        <v>50</v>
      </c>
      <c r="I588" t="s">
        <v>36</v>
      </c>
      <c r="J588" t="s">
        <v>19</v>
      </c>
    </row>
    <row r="589" spans="1:10" x14ac:dyDescent="0.25">
      <c r="A589" s="1">
        <v>45085</v>
      </c>
      <c r="B589" t="s">
        <v>620</v>
      </c>
      <c r="C589" t="s">
        <v>16</v>
      </c>
      <c r="D589">
        <v>40</v>
      </c>
      <c r="E589" t="s">
        <v>12</v>
      </c>
      <c r="F589">
        <v>4</v>
      </c>
      <c r="G589">
        <v>300</v>
      </c>
      <c r="H589">
        <v>1200</v>
      </c>
      <c r="I589" t="s">
        <v>68</v>
      </c>
      <c r="J589" t="s">
        <v>58</v>
      </c>
    </row>
    <row r="590" spans="1:10" x14ac:dyDescent="0.25">
      <c r="A590" s="1">
        <v>45042</v>
      </c>
      <c r="B590" t="s">
        <v>621</v>
      </c>
      <c r="C590" t="s">
        <v>11</v>
      </c>
      <c r="D590">
        <v>38</v>
      </c>
      <c r="E590" t="s">
        <v>21</v>
      </c>
      <c r="F590">
        <v>2</v>
      </c>
      <c r="G590">
        <v>30</v>
      </c>
      <c r="H590">
        <v>60</v>
      </c>
      <c r="I590" t="s">
        <v>29</v>
      </c>
      <c r="J590" t="s">
        <v>34</v>
      </c>
    </row>
    <row r="591" spans="1:10" x14ac:dyDescent="0.25">
      <c r="A591" s="1">
        <v>45028</v>
      </c>
      <c r="B591" t="s">
        <v>622</v>
      </c>
      <c r="C591" t="s">
        <v>16</v>
      </c>
      <c r="D591">
        <v>36</v>
      </c>
      <c r="E591" t="s">
        <v>12</v>
      </c>
      <c r="F591">
        <v>2</v>
      </c>
      <c r="G591">
        <v>500</v>
      </c>
      <c r="H591">
        <v>1000</v>
      </c>
      <c r="I591" t="s">
        <v>29</v>
      </c>
      <c r="J591" t="s">
        <v>34</v>
      </c>
    </row>
    <row r="592" spans="1:10" x14ac:dyDescent="0.25">
      <c r="A592" s="1">
        <v>45002</v>
      </c>
      <c r="B592" t="s">
        <v>623</v>
      </c>
      <c r="C592" t="s">
        <v>11</v>
      </c>
      <c r="D592">
        <v>36</v>
      </c>
      <c r="E592" t="s">
        <v>17</v>
      </c>
      <c r="F592">
        <v>3</v>
      </c>
      <c r="G592">
        <v>300</v>
      </c>
      <c r="H592">
        <v>900</v>
      </c>
      <c r="I592" t="s">
        <v>32</v>
      </c>
      <c r="J592" t="s">
        <v>14</v>
      </c>
    </row>
    <row r="593" spans="1:10" x14ac:dyDescent="0.25">
      <c r="A593" s="1">
        <v>44939</v>
      </c>
      <c r="B593" t="s">
        <v>624</v>
      </c>
      <c r="C593" t="s">
        <v>11</v>
      </c>
      <c r="D593">
        <v>53</v>
      </c>
      <c r="E593" t="s">
        <v>21</v>
      </c>
      <c r="F593">
        <v>4</v>
      </c>
      <c r="G593">
        <v>25</v>
      </c>
      <c r="H593">
        <v>100</v>
      </c>
      <c r="I593" t="s">
        <v>22</v>
      </c>
      <c r="J593" t="s">
        <v>14</v>
      </c>
    </row>
    <row r="594" spans="1:10" x14ac:dyDescent="0.25">
      <c r="A594" s="1">
        <v>44950</v>
      </c>
      <c r="B594" t="s">
        <v>625</v>
      </c>
      <c r="C594" t="s">
        <v>16</v>
      </c>
      <c r="D594">
        <v>46</v>
      </c>
      <c r="E594" t="s">
        <v>12</v>
      </c>
      <c r="F594">
        <v>4</v>
      </c>
      <c r="G594">
        <v>500</v>
      </c>
      <c r="H594">
        <v>2000</v>
      </c>
      <c r="I594" t="s">
        <v>22</v>
      </c>
      <c r="J594" t="s">
        <v>30</v>
      </c>
    </row>
    <row r="595" spans="1:10" x14ac:dyDescent="0.25">
      <c r="A595" s="1">
        <v>45052</v>
      </c>
      <c r="B595" t="s">
        <v>626</v>
      </c>
      <c r="C595" t="s">
        <v>11</v>
      </c>
      <c r="D595">
        <v>35</v>
      </c>
      <c r="E595" t="s">
        <v>21</v>
      </c>
      <c r="F595">
        <v>2</v>
      </c>
      <c r="G595">
        <v>30</v>
      </c>
      <c r="H595">
        <v>60</v>
      </c>
      <c r="I595" t="s">
        <v>24</v>
      </c>
      <c r="J595" t="s">
        <v>27</v>
      </c>
    </row>
    <row r="596" spans="1:10" x14ac:dyDescent="0.25">
      <c r="A596" s="1">
        <v>45170</v>
      </c>
      <c r="B596" t="s">
        <v>627</v>
      </c>
      <c r="C596" t="s">
        <v>16</v>
      </c>
      <c r="D596">
        <v>19</v>
      </c>
      <c r="E596" t="s">
        <v>21</v>
      </c>
      <c r="F596">
        <v>2</v>
      </c>
      <c r="G596">
        <v>300</v>
      </c>
      <c r="H596">
        <v>600</v>
      </c>
      <c r="I596" t="s">
        <v>49</v>
      </c>
      <c r="J596" t="s">
        <v>14</v>
      </c>
    </row>
    <row r="597" spans="1:10" x14ac:dyDescent="0.25">
      <c r="A597" s="1">
        <v>45239</v>
      </c>
      <c r="B597" t="s">
        <v>628</v>
      </c>
      <c r="C597" t="s">
        <v>16</v>
      </c>
      <c r="D597">
        <v>18</v>
      </c>
      <c r="E597" t="s">
        <v>17</v>
      </c>
      <c r="F597">
        <v>4</v>
      </c>
      <c r="G597">
        <v>500</v>
      </c>
      <c r="H597">
        <v>2000</v>
      </c>
      <c r="I597" t="s">
        <v>13</v>
      </c>
      <c r="J597" t="s">
        <v>58</v>
      </c>
    </row>
    <row r="598" spans="1:10" x14ac:dyDescent="0.25">
      <c r="A598" s="1">
        <v>44964</v>
      </c>
      <c r="B598" t="s">
        <v>629</v>
      </c>
      <c r="C598" t="s">
        <v>16</v>
      </c>
      <c r="D598">
        <v>64</v>
      </c>
      <c r="E598" t="s">
        <v>21</v>
      </c>
      <c r="F598">
        <v>1</v>
      </c>
      <c r="G598">
        <v>300</v>
      </c>
      <c r="H598">
        <v>300</v>
      </c>
      <c r="I598" t="s">
        <v>18</v>
      </c>
      <c r="J598" t="s">
        <v>30</v>
      </c>
    </row>
    <row r="599" spans="1:10" x14ac:dyDescent="0.25">
      <c r="A599" s="1">
        <v>45160</v>
      </c>
      <c r="B599" t="s">
        <v>630</v>
      </c>
      <c r="C599" t="s">
        <v>11</v>
      </c>
      <c r="D599">
        <v>22</v>
      </c>
      <c r="E599" t="s">
        <v>12</v>
      </c>
      <c r="F599">
        <v>4</v>
      </c>
      <c r="G599">
        <v>300</v>
      </c>
      <c r="H599">
        <v>1200</v>
      </c>
      <c r="I599" t="s">
        <v>42</v>
      </c>
      <c r="J599" t="s">
        <v>30</v>
      </c>
    </row>
    <row r="600" spans="1:10" x14ac:dyDescent="0.25">
      <c r="A600" s="1">
        <v>45139</v>
      </c>
      <c r="B600" t="s">
        <v>631</v>
      </c>
      <c r="C600" t="s">
        <v>11</v>
      </c>
      <c r="D600">
        <v>37</v>
      </c>
      <c r="E600" t="s">
        <v>12</v>
      </c>
      <c r="F600">
        <v>4</v>
      </c>
      <c r="G600">
        <v>30</v>
      </c>
      <c r="H600">
        <v>120</v>
      </c>
      <c r="I600" t="s">
        <v>42</v>
      </c>
      <c r="J600" t="s">
        <v>30</v>
      </c>
    </row>
    <row r="601" spans="1:10" x14ac:dyDescent="0.25">
      <c r="A601" s="1">
        <v>45249</v>
      </c>
      <c r="B601" t="s">
        <v>632</v>
      </c>
      <c r="C601" t="s">
        <v>16</v>
      </c>
      <c r="D601">
        <v>28</v>
      </c>
      <c r="E601" t="s">
        <v>12</v>
      </c>
      <c r="F601">
        <v>2</v>
      </c>
      <c r="G601">
        <v>50</v>
      </c>
      <c r="H601">
        <v>100</v>
      </c>
      <c r="I601" t="s">
        <v>13</v>
      </c>
      <c r="J601" t="s">
        <v>25</v>
      </c>
    </row>
    <row r="602" spans="1:10" x14ac:dyDescent="0.25">
      <c r="A602" s="1">
        <v>45221</v>
      </c>
      <c r="B602" t="s">
        <v>633</v>
      </c>
      <c r="C602" t="s">
        <v>16</v>
      </c>
      <c r="D602">
        <v>59</v>
      </c>
      <c r="E602" t="s">
        <v>12</v>
      </c>
      <c r="F602">
        <v>2</v>
      </c>
      <c r="G602">
        <v>500</v>
      </c>
      <c r="H602">
        <v>1000</v>
      </c>
      <c r="I602" t="s">
        <v>38</v>
      </c>
      <c r="J602" t="s">
        <v>25</v>
      </c>
    </row>
    <row r="603" spans="1:10" x14ac:dyDescent="0.25">
      <c r="A603" s="1">
        <v>45026</v>
      </c>
      <c r="B603" t="s">
        <v>634</v>
      </c>
      <c r="C603" t="s">
        <v>11</v>
      </c>
      <c r="D603">
        <v>19</v>
      </c>
      <c r="E603" t="s">
        <v>17</v>
      </c>
      <c r="F603">
        <v>1</v>
      </c>
      <c r="G603">
        <v>30</v>
      </c>
      <c r="H603">
        <v>30</v>
      </c>
      <c r="I603" t="s">
        <v>29</v>
      </c>
      <c r="J603" t="s">
        <v>19</v>
      </c>
    </row>
    <row r="604" spans="1:10" x14ac:dyDescent="0.25">
      <c r="A604" s="1">
        <v>45283</v>
      </c>
      <c r="B604" t="s">
        <v>635</v>
      </c>
      <c r="C604" t="s">
        <v>16</v>
      </c>
      <c r="D604">
        <v>20</v>
      </c>
      <c r="E604" t="s">
        <v>21</v>
      </c>
      <c r="F604">
        <v>1</v>
      </c>
      <c r="G604">
        <v>300</v>
      </c>
      <c r="H604">
        <v>300</v>
      </c>
      <c r="I604" t="s">
        <v>36</v>
      </c>
      <c r="J604" t="s">
        <v>27</v>
      </c>
    </row>
    <row r="605" spans="1:10" x14ac:dyDescent="0.25">
      <c r="A605" s="1">
        <v>45123</v>
      </c>
      <c r="B605" t="s">
        <v>636</v>
      </c>
      <c r="C605" t="s">
        <v>16</v>
      </c>
      <c r="D605">
        <v>40</v>
      </c>
      <c r="E605" t="s">
        <v>17</v>
      </c>
      <c r="F605">
        <v>3</v>
      </c>
      <c r="G605">
        <v>30</v>
      </c>
      <c r="H605">
        <v>90</v>
      </c>
      <c r="I605" t="s">
        <v>76</v>
      </c>
      <c r="J605" t="s">
        <v>25</v>
      </c>
    </row>
    <row r="606" spans="1:10" x14ac:dyDescent="0.25">
      <c r="A606" s="1">
        <v>45180</v>
      </c>
      <c r="B606" t="s">
        <v>637</v>
      </c>
      <c r="C606" t="s">
        <v>16</v>
      </c>
      <c r="D606">
        <v>29</v>
      </c>
      <c r="E606" t="s">
        <v>21</v>
      </c>
      <c r="F606">
        <v>4</v>
      </c>
      <c r="G606">
        <v>50</v>
      </c>
      <c r="H606">
        <v>200</v>
      </c>
      <c r="I606" t="s">
        <v>49</v>
      </c>
      <c r="J606" t="s">
        <v>19</v>
      </c>
    </row>
    <row r="607" spans="1:10" x14ac:dyDescent="0.25">
      <c r="A607" s="1">
        <v>45131</v>
      </c>
      <c r="B607" t="s">
        <v>638</v>
      </c>
      <c r="C607" t="s">
        <v>11</v>
      </c>
      <c r="D607">
        <v>37</v>
      </c>
      <c r="E607" t="s">
        <v>21</v>
      </c>
      <c r="F607">
        <v>2</v>
      </c>
      <c r="G607">
        <v>500</v>
      </c>
      <c r="H607">
        <v>1000</v>
      </c>
      <c r="I607" t="s">
        <v>76</v>
      </c>
      <c r="J607" t="s">
        <v>19</v>
      </c>
    </row>
    <row r="608" spans="1:10" x14ac:dyDescent="0.25">
      <c r="A608" s="1">
        <v>45051</v>
      </c>
      <c r="B608" t="s">
        <v>639</v>
      </c>
      <c r="C608" t="s">
        <v>11</v>
      </c>
      <c r="D608">
        <v>22</v>
      </c>
      <c r="E608" t="s">
        <v>21</v>
      </c>
      <c r="F608">
        <v>1</v>
      </c>
      <c r="G608">
        <v>50</v>
      </c>
      <c r="H608">
        <v>50</v>
      </c>
      <c r="I608" t="s">
        <v>24</v>
      </c>
      <c r="J608" t="s">
        <v>14</v>
      </c>
    </row>
    <row r="609" spans="1:10" x14ac:dyDescent="0.25">
      <c r="A609" s="1">
        <v>45002</v>
      </c>
      <c r="B609" t="s">
        <v>640</v>
      </c>
      <c r="C609" t="s">
        <v>11</v>
      </c>
      <c r="D609">
        <v>54</v>
      </c>
      <c r="E609" t="s">
        <v>17</v>
      </c>
      <c r="F609">
        <v>3</v>
      </c>
      <c r="G609">
        <v>25</v>
      </c>
      <c r="H609">
        <v>75</v>
      </c>
      <c r="I609" t="s">
        <v>32</v>
      </c>
      <c r="J609" t="s">
        <v>14</v>
      </c>
    </row>
    <row r="610" spans="1:10" x14ac:dyDescent="0.25">
      <c r="A610" s="1">
        <v>45262</v>
      </c>
      <c r="B610" t="s">
        <v>641</v>
      </c>
      <c r="C610" t="s">
        <v>16</v>
      </c>
      <c r="D610">
        <v>55</v>
      </c>
      <c r="E610" t="s">
        <v>21</v>
      </c>
      <c r="F610">
        <v>3</v>
      </c>
      <c r="G610">
        <v>500</v>
      </c>
      <c r="H610">
        <v>1500</v>
      </c>
      <c r="I610" t="s">
        <v>36</v>
      </c>
      <c r="J610" t="s">
        <v>27</v>
      </c>
    </row>
    <row r="611" spans="1:10" x14ac:dyDescent="0.25">
      <c r="A611" s="1">
        <v>45279</v>
      </c>
      <c r="B611" t="s">
        <v>642</v>
      </c>
      <c r="C611" t="s">
        <v>16</v>
      </c>
      <c r="D611">
        <v>47</v>
      </c>
      <c r="E611" t="s">
        <v>17</v>
      </c>
      <c r="F611">
        <v>2</v>
      </c>
      <c r="G611">
        <v>50</v>
      </c>
      <c r="H611">
        <v>100</v>
      </c>
      <c r="I611" t="s">
        <v>36</v>
      </c>
      <c r="J611" t="s">
        <v>30</v>
      </c>
    </row>
    <row r="612" spans="1:10" x14ac:dyDescent="0.25">
      <c r="A612" s="1">
        <v>44929</v>
      </c>
      <c r="B612" t="s">
        <v>643</v>
      </c>
      <c r="C612" t="s">
        <v>16</v>
      </c>
      <c r="D612">
        <v>26</v>
      </c>
      <c r="E612" t="s">
        <v>12</v>
      </c>
      <c r="F612">
        <v>2</v>
      </c>
      <c r="G612">
        <v>300</v>
      </c>
      <c r="H612">
        <v>600</v>
      </c>
      <c r="I612" t="s">
        <v>22</v>
      </c>
      <c r="J612" t="s">
        <v>30</v>
      </c>
    </row>
    <row r="613" spans="1:10" x14ac:dyDescent="0.25">
      <c r="A613" s="1">
        <v>44981</v>
      </c>
      <c r="B613" t="s">
        <v>644</v>
      </c>
      <c r="C613" t="s">
        <v>11</v>
      </c>
      <c r="D613">
        <v>51</v>
      </c>
      <c r="E613" t="s">
        <v>12</v>
      </c>
      <c r="F613">
        <v>3</v>
      </c>
      <c r="G613">
        <v>500</v>
      </c>
      <c r="H613">
        <v>1500</v>
      </c>
      <c r="I613" t="s">
        <v>18</v>
      </c>
      <c r="J613" t="s">
        <v>14</v>
      </c>
    </row>
    <row r="614" spans="1:10" x14ac:dyDescent="0.25">
      <c r="A614" s="1">
        <v>45144</v>
      </c>
      <c r="B614" t="s">
        <v>645</v>
      </c>
      <c r="C614" t="s">
        <v>16</v>
      </c>
      <c r="D614">
        <v>61</v>
      </c>
      <c r="E614" t="s">
        <v>21</v>
      </c>
      <c r="F614">
        <v>1</v>
      </c>
      <c r="G614">
        <v>500</v>
      </c>
      <c r="H614">
        <v>500</v>
      </c>
      <c r="I614" t="s">
        <v>42</v>
      </c>
      <c r="J614" t="s">
        <v>25</v>
      </c>
    </row>
    <row r="615" spans="1:10" x14ac:dyDescent="0.25">
      <c r="A615" s="1">
        <v>45039</v>
      </c>
      <c r="B615" t="s">
        <v>646</v>
      </c>
      <c r="C615" t="s">
        <v>16</v>
      </c>
      <c r="D615">
        <v>52</v>
      </c>
      <c r="E615" t="s">
        <v>17</v>
      </c>
      <c r="F615">
        <v>3</v>
      </c>
      <c r="G615">
        <v>30</v>
      </c>
      <c r="H615">
        <v>90</v>
      </c>
      <c r="I615" t="s">
        <v>29</v>
      </c>
      <c r="J615" t="s">
        <v>25</v>
      </c>
    </row>
    <row r="616" spans="1:10" x14ac:dyDescent="0.25">
      <c r="A616" s="1">
        <v>45017</v>
      </c>
      <c r="B616" t="s">
        <v>647</v>
      </c>
      <c r="C616" t="s">
        <v>16</v>
      </c>
      <c r="D616">
        <v>39</v>
      </c>
      <c r="E616" t="s">
        <v>12</v>
      </c>
      <c r="F616">
        <v>4</v>
      </c>
      <c r="G616">
        <v>300</v>
      </c>
      <c r="H616">
        <v>1200</v>
      </c>
      <c r="I616" t="s">
        <v>29</v>
      </c>
      <c r="J616" t="s">
        <v>27</v>
      </c>
    </row>
    <row r="617" spans="1:10" x14ac:dyDescent="0.25">
      <c r="A617" s="1">
        <v>45283</v>
      </c>
      <c r="B617" t="s">
        <v>648</v>
      </c>
      <c r="C617" t="s">
        <v>16</v>
      </c>
      <c r="D617">
        <v>61</v>
      </c>
      <c r="E617" t="s">
        <v>17</v>
      </c>
      <c r="F617">
        <v>4</v>
      </c>
      <c r="G617">
        <v>25</v>
      </c>
      <c r="H617">
        <v>100</v>
      </c>
      <c r="I617" t="s">
        <v>36</v>
      </c>
      <c r="J617" t="s">
        <v>27</v>
      </c>
    </row>
    <row r="618" spans="1:10" x14ac:dyDescent="0.25">
      <c r="A618" s="1">
        <v>45192</v>
      </c>
      <c r="B618" t="s">
        <v>649</v>
      </c>
      <c r="C618" t="s">
        <v>11</v>
      </c>
      <c r="D618">
        <v>41</v>
      </c>
      <c r="E618" t="s">
        <v>17</v>
      </c>
      <c r="F618">
        <v>2</v>
      </c>
      <c r="G618">
        <v>50</v>
      </c>
      <c r="H618">
        <v>100</v>
      </c>
      <c r="I618" t="s">
        <v>49</v>
      </c>
      <c r="J618" t="s">
        <v>27</v>
      </c>
    </row>
    <row r="619" spans="1:10" x14ac:dyDescent="0.25">
      <c r="A619" s="1">
        <v>45164</v>
      </c>
      <c r="B619" t="s">
        <v>650</v>
      </c>
      <c r="C619" t="s">
        <v>11</v>
      </c>
      <c r="D619">
        <v>34</v>
      </c>
      <c r="E619" t="s">
        <v>21</v>
      </c>
      <c r="F619">
        <v>1</v>
      </c>
      <c r="G619">
        <v>30</v>
      </c>
      <c r="H619">
        <v>30</v>
      </c>
      <c r="I619" t="s">
        <v>42</v>
      </c>
      <c r="J619" t="s">
        <v>27</v>
      </c>
    </row>
    <row r="620" spans="1:10" x14ac:dyDescent="0.25">
      <c r="A620" s="1">
        <v>44952</v>
      </c>
      <c r="B620" t="s">
        <v>651</v>
      </c>
      <c r="C620" t="s">
        <v>16</v>
      </c>
      <c r="D620">
        <v>27</v>
      </c>
      <c r="E620" t="s">
        <v>12</v>
      </c>
      <c r="F620">
        <v>1</v>
      </c>
      <c r="G620">
        <v>50</v>
      </c>
      <c r="H620">
        <v>50</v>
      </c>
      <c r="I620" t="s">
        <v>22</v>
      </c>
      <c r="J620" t="s">
        <v>58</v>
      </c>
    </row>
    <row r="621" spans="1:10" x14ac:dyDescent="0.25">
      <c r="A621" s="1">
        <v>45212</v>
      </c>
      <c r="B621" t="s">
        <v>652</v>
      </c>
      <c r="C621" t="s">
        <v>11</v>
      </c>
      <c r="D621">
        <v>47</v>
      </c>
      <c r="E621" t="s">
        <v>21</v>
      </c>
      <c r="F621">
        <v>4</v>
      </c>
      <c r="G621">
        <v>25</v>
      </c>
      <c r="H621">
        <v>100</v>
      </c>
      <c r="I621" t="s">
        <v>38</v>
      </c>
      <c r="J621" t="s">
        <v>14</v>
      </c>
    </row>
    <row r="622" spans="1:10" x14ac:dyDescent="0.25">
      <c r="A622" s="1">
        <v>45054</v>
      </c>
      <c r="B622" t="s">
        <v>653</v>
      </c>
      <c r="C622" t="s">
        <v>11</v>
      </c>
      <c r="D622">
        <v>63</v>
      </c>
      <c r="E622" t="s">
        <v>21</v>
      </c>
      <c r="F622">
        <v>3</v>
      </c>
      <c r="G622">
        <v>25</v>
      </c>
      <c r="H622">
        <v>75</v>
      </c>
      <c r="I622" t="s">
        <v>24</v>
      </c>
      <c r="J622" t="s">
        <v>19</v>
      </c>
    </row>
    <row r="623" spans="1:10" x14ac:dyDescent="0.25">
      <c r="A623" s="1">
        <v>44989</v>
      </c>
      <c r="B623" t="s">
        <v>654</v>
      </c>
      <c r="C623" t="s">
        <v>16</v>
      </c>
      <c r="D623">
        <v>40</v>
      </c>
      <c r="E623" t="s">
        <v>12</v>
      </c>
      <c r="F623">
        <v>2</v>
      </c>
      <c r="G623">
        <v>500</v>
      </c>
      <c r="H623">
        <v>1000</v>
      </c>
      <c r="I623" t="s">
        <v>32</v>
      </c>
      <c r="J623" t="s">
        <v>27</v>
      </c>
    </row>
    <row r="624" spans="1:10" x14ac:dyDescent="0.25">
      <c r="A624" s="1">
        <v>45160</v>
      </c>
      <c r="B624" t="s">
        <v>655</v>
      </c>
      <c r="C624" t="s">
        <v>16</v>
      </c>
      <c r="D624">
        <v>49</v>
      </c>
      <c r="E624" t="s">
        <v>12</v>
      </c>
      <c r="F624">
        <v>3</v>
      </c>
      <c r="G624">
        <v>25</v>
      </c>
      <c r="H624">
        <v>75</v>
      </c>
      <c r="I624" t="s">
        <v>42</v>
      </c>
      <c r="J624" t="s">
        <v>30</v>
      </c>
    </row>
    <row r="625" spans="1:10" x14ac:dyDescent="0.25">
      <c r="A625" s="1">
        <v>44995</v>
      </c>
      <c r="B625" t="s">
        <v>656</v>
      </c>
      <c r="C625" t="s">
        <v>11</v>
      </c>
      <c r="D625">
        <v>34</v>
      </c>
      <c r="E625" t="s">
        <v>17</v>
      </c>
      <c r="F625">
        <v>3</v>
      </c>
      <c r="G625">
        <v>50</v>
      </c>
      <c r="H625">
        <v>150</v>
      </c>
      <c r="I625" t="s">
        <v>32</v>
      </c>
      <c r="J625" t="s">
        <v>14</v>
      </c>
    </row>
    <row r="626" spans="1:10" x14ac:dyDescent="0.25">
      <c r="A626" s="1">
        <v>45164</v>
      </c>
      <c r="B626" t="s">
        <v>657</v>
      </c>
      <c r="C626" t="s">
        <v>16</v>
      </c>
      <c r="D626">
        <v>34</v>
      </c>
      <c r="E626" t="s">
        <v>12</v>
      </c>
      <c r="F626">
        <v>3</v>
      </c>
      <c r="G626">
        <v>300</v>
      </c>
      <c r="H626">
        <v>900</v>
      </c>
      <c r="I626" t="s">
        <v>42</v>
      </c>
      <c r="J626" t="s">
        <v>27</v>
      </c>
    </row>
    <row r="627" spans="1:10" x14ac:dyDescent="0.25">
      <c r="A627" s="1">
        <v>45268</v>
      </c>
      <c r="B627" t="s">
        <v>658</v>
      </c>
      <c r="C627" t="s">
        <v>11</v>
      </c>
      <c r="D627">
        <v>31</v>
      </c>
      <c r="E627" t="s">
        <v>17</v>
      </c>
      <c r="F627">
        <v>1</v>
      </c>
      <c r="G627">
        <v>300</v>
      </c>
      <c r="H627">
        <v>300</v>
      </c>
      <c r="I627" t="s">
        <v>36</v>
      </c>
      <c r="J627" t="s">
        <v>14</v>
      </c>
    </row>
    <row r="628" spans="1:10" x14ac:dyDescent="0.25">
      <c r="A628" s="1">
        <v>45198</v>
      </c>
      <c r="B628" t="s">
        <v>659</v>
      </c>
      <c r="C628" t="s">
        <v>16</v>
      </c>
      <c r="D628">
        <v>26</v>
      </c>
      <c r="E628" t="s">
        <v>17</v>
      </c>
      <c r="F628">
        <v>4</v>
      </c>
      <c r="G628">
        <v>500</v>
      </c>
      <c r="H628">
        <v>2000</v>
      </c>
      <c r="I628" t="s">
        <v>49</v>
      </c>
      <c r="J628" t="s">
        <v>14</v>
      </c>
    </row>
    <row r="629" spans="1:10" x14ac:dyDescent="0.25">
      <c r="A629" s="1">
        <v>45213</v>
      </c>
      <c r="B629" t="s">
        <v>660</v>
      </c>
      <c r="C629" t="s">
        <v>11</v>
      </c>
      <c r="D629">
        <v>57</v>
      </c>
      <c r="E629" t="s">
        <v>17</v>
      </c>
      <c r="F629">
        <v>1</v>
      </c>
      <c r="G629">
        <v>50</v>
      </c>
      <c r="H629">
        <v>50</v>
      </c>
      <c r="I629" t="s">
        <v>38</v>
      </c>
      <c r="J629" t="s">
        <v>27</v>
      </c>
    </row>
    <row r="630" spans="1:10" x14ac:dyDescent="0.25">
      <c r="A630" s="1">
        <v>45231</v>
      </c>
      <c r="B630" t="s">
        <v>661</v>
      </c>
      <c r="C630" t="s">
        <v>16</v>
      </c>
      <c r="D630">
        <v>19</v>
      </c>
      <c r="E630" t="s">
        <v>12</v>
      </c>
      <c r="F630">
        <v>4</v>
      </c>
      <c r="G630">
        <v>50</v>
      </c>
      <c r="H630">
        <v>200</v>
      </c>
      <c r="I630" t="s">
        <v>13</v>
      </c>
      <c r="J630" t="s">
        <v>34</v>
      </c>
    </row>
    <row r="631" spans="1:10" x14ac:dyDescent="0.25">
      <c r="A631" s="1">
        <v>45089</v>
      </c>
      <c r="B631" t="s">
        <v>662</v>
      </c>
      <c r="C631" t="s">
        <v>11</v>
      </c>
      <c r="D631">
        <v>62</v>
      </c>
      <c r="E631" t="s">
        <v>21</v>
      </c>
      <c r="F631">
        <v>2</v>
      </c>
      <c r="G631">
        <v>25</v>
      </c>
      <c r="H631">
        <v>50</v>
      </c>
      <c r="I631" t="s">
        <v>68</v>
      </c>
      <c r="J631" t="s">
        <v>19</v>
      </c>
    </row>
    <row r="632" spans="1:10" x14ac:dyDescent="0.25">
      <c r="A632" s="1">
        <v>45153</v>
      </c>
      <c r="B632" t="s">
        <v>663</v>
      </c>
      <c r="C632" t="s">
        <v>11</v>
      </c>
      <c r="D632">
        <v>42</v>
      </c>
      <c r="E632" t="s">
        <v>17</v>
      </c>
      <c r="F632">
        <v>2</v>
      </c>
      <c r="G632">
        <v>50</v>
      </c>
      <c r="H632">
        <v>100</v>
      </c>
      <c r="I632" t="s">
        <v>42</v>
      </c>
      <c r="J632" t="s">
        <v>30</v>
      </c>
    </row>
    <row r="633" spans="1:10" x14ac:dyDescent="0.25">
      <c r="A633" s="1">
        <v>45240</v>
      </c>
      <c r="B633" t="s">
        <v>664</v>
      </c>
      <c r="C633" t="s">
        <v>11</v>
      </c>
      <c r="D633">
        <v>56</v>
      </c>
      <c r="E633" t="s">
        <v>21</v>
      </c>
      <c r="F633">
        <v>3</v>
      </c>
      <c r="G633">
        <v>30</v>
      </c>
      <c r="H633">
        <v>90</v>
      </c>
      <c r="I633" t="s">
        <v>13</v>
      </c>
      <c r="J633" t="s">
        <v>14</v>
      </c>
    </row>
    <row r="634" spans="1:10" x14ac:dyDescent="0.25">
      <c r="A634" s="1">
        <v>45185</v>
      </c>
      <c r="B634" t="s">
        <v>665</v>
      </c>
      <c r="C634" t="s">
        <v>16</v>
      </c>
      <c r="D634">
        <v>26</v>
      </c>
      <c r="E634" t="s">
        <v>21</v>
      </c>
      <c r="F634">
        <v>4</v>
      </c>
      <c r="G634">
        <v>25</v>
      </c>
      <c r="H634">
        <v>100</v>
      </c>
      <c r="I634" t="s">
        <v>49</v>
      </c>
      <c r="J634" t="s">
        <v>27</v>
      </c>
    </row>
    <row r="635" spans="1:10" x14ac:dyDescent="0.25">
      <c r="A635" s="1">
        <v>45145</v>
      </c>
      <c r="B635" t="s">
        <v>666</v>
      </c>
      <c r="C635" t="s">
        <v>11</v>
      </c>
      <c r="D635">
        <v>39</v>
      </c>
      <c r="E635" t="s">
        <v>12</v>
      </c>
      <c r="F635">
        <v>4</v>
      </c>
      <c r="G635">
        <v>30</v>
      </c>
      <c r="H635">
        <v>120</v>
      </c>
      <c r="I635" t="s">
        <v>42</v>
      </c>
      <c r="J635" t="s">
        <v>19</v>
      </c>
    </row>
    <row r="636" spans="1:10" x14ac:dyDescent="0.25">
      <c r="A636" s="1">
        <v>45207</v>
      </c>
      <c r="B636" t="s">
        <v>667</v>
      </c>
      <c r="C636" t="s">
        <v>11</v>
      </c>
      <c r="D636">
        <v>60</v>
      </c>
      <c r="E636" t="s">
        <v>21</v>
      </c>
      <c r="F636">
        <v>4</v>
      </c>
      <c r="G636">
        <v>500</v>
      </c>
      <c r="H636">
        <v>2000</v>
      </c>
      <c r="I636" t="s">
        <v>38</v>
      </c>
      <c r="J636" t="s">
        <v>25</v>
      </c>
    </row>
    <row r="637" spans="1:10" x14ac:dyDescent="0.25">
      <c r="A637" s="1">
        <v>45155</v>
      </c>
      <c r="B637" t="s">
        <v>668</v>
      </c>
      <c r="C637" t="s">
        <v>16</v>
      </c>
      <c r="D637">
        <v>63</v>
      </c>
      <c r="E637" t="s">
        <v>21</v>
      </c>
      <c r="F637">
        <v>3</v>
      </c>
      <c r="G637">
        <v>300</v>
      </c>
      <c r="H637">
        <v>900</v>
      </c>
      <c r="I637" t="s">
        <v>42</v>
      </c>
      <c r="J637" t="s">
        <v>58</v>
      </c>
    </row>
    <row r="638" spans="1:10" x14ac:dyDescent="0.25">
      <c r="A638" s="1">
        <v>45008</v>
      </c>
      <c r="B638" t="s">
        <v>669</v>
      </c>
      <c r="C638" t="s">
        <v>16</v>
      </c>
      <c r="D638">
        <v>21</v>
      </c>
      <c r="E638" t="s">
        <v>12</v>
      </c>
      <c r="F638">
        <v>3</v>
      </c>
      <c r="G638">
        <v>500</v>
      </c>
      <c r="H638">
        <v>1500</v>
      </c>
      <c r="I638" t="s">
        <v>32</v>
      </c>
      <c r="J638" t="s">
        <v>58</v>
      </c>
    </row>
    <row r="639" spans="1:10" x14ac:dyDescent="0.25">
      <c r="A639" s="1">
        <v>45170</v>
      </c>
      <c r="B639" t="s">
        <v>670</v>
      </c>
      <c r="C639" t="s">
        <v>11</v>
      </c>
      <c r="D639">
        <v>43</v>
      </c>
      <c r="E639" t="s">
        <v>17</v>
      </c>
      <c r="F639">
        <v>2</v>
      </c>
      <c r="G639">
        <v>300</v>
      </c>
      <c r="H639">
        <v>600</v>
      </c>
      <c r="I639" t="s">
        <v>49</v>
      </c>
      <c r="J639" t="s">
        <v>14</v>
      </c>
    </row>
    <row r="640" spans="1:10" x14ac:dyDescent="0.25">
      <c r="A640" s="1">
        <v>45157</v>
      </c>
      <c r="B640" t="s">
        <v>671</v>
      </c>
      <c r="C640" t="s">
        <v>11</v>
      </c>
      <c r="D640">
        <v>46</v>
      </c>
      <c r="E640" t="s">
        <v>21</v>
      </c>
      <c r="F640">
        <v>1</v>
      </c>
      <c r="G640">
        <v>500</v>
      </c>
      <c r="H640">
        <v>500</v>
      </c>
      <c r="I640" t="s">
        <v>42</v>
      </c>
      <c r="J640" t="s">
        <v>27</v>
      </c>
    </row>
    <row r="641" spans="1:10" x14ac:dyDescent="0.25">
      <c r="A641" s="1">
        <v>45059</v>
      </c>
      <c r="B641" t="s">
        <v>672</v>
      </c>
      <c r="C641" t="s">
        <v>16</v>
      </c>
      <c r="D641">
        <v>62</v>
      </c>
      <c r="E641" t="s">
        <v>12</v>
      </c>
      <c r="F641">
        <v>4</v>
      </c>
      <c r="G641">
        <v>50</v>
      </c>
      <c r="H641">
        <v>200</v>
      </c>
      <c r="I641" t="s">
        <v>24</v>
      </c>
      <c r="J641" t="s">
        <v>27</v>
      </c>
    </row>
    <row r="642" spans="1:10" x14ac:dyDescent="0.25">
      <c r="A642" s="1">
        <v>45053</v>
      </c>
      <c r="B642" t="s">
        <v>673</v>
      </c>
      <c r="C642" t="s">
        <v>16</v>
      </c>
      <c r="D642">
        <v>51</v>
      </c>
      <c r="E642" t="s">
        <v>21</v>
      </c>
      <c r="F642">
        <v>4</v>
      </c>
      <c r="G642">
        <v>30</v>
      </c>
      <c r="H642">
        <v>120</v>
      </c>
      <c r="I642" t="s">
        <v>24</v>
      </c>
      <c r="J642" t="s">
        <v>25</v>
      </c>
    </row>
    <row r="643" spans="1:10" x14ac:dyDescent="0.25">
      <c r="A643" s="1">
        <v>45253</v>
      </c>
      <c r="B643" t="s">
        <v>674</v>
      </c>
      <c r="C643" t="s">
        <v>16</v>
      </c>
      <c r="D643">
        <v>40</v>
      </c>
      <c r="E643" t="s">
        <v>21</v>
      </c>
      <c r="F643">
        <v>1</v>
      </c>
      <c r="G643">
        <v>300</v>
      </c>
      <c r="H643">
        <v>300</v>
      </c>
      <c r="I643" t="s">
        <v>13</v>
      </c>
      <c r="J643" t="s">
        <v>58</v>
      </c>
    </row>
    <row r="644" spans="1:10" x14ac:dyDescent="0.25">
      <c r="A644" s="1">
        <v>45068</v>
      </c>
      <c r="B644" t="s">
        <v>675</v>
      </c>
      <c r="C644" t="s">
        <v>16</v>
      </c>
      <c r="D644">
        <v>54</v>
      </c>
      <c r="E644" t="s">
        <v>17</v>
      </c>
      <c r="F644">
        <v>4</v>
      </c>
      <c r="G644">
        <v>25</v>
      </c>
      <c r="H644">
        <v>100</v>
      </c>
      <c r="I644" t="s">
        <v>24</v>
      </c>
      <c r="J644" t="s">
        <v>19</v>
      </c>
    </row>
    <row r="645" spans="1:10" x14ac:dyDescent="0.25">
      <c r="A645" s="1">
        <v>45193</v>
      </c>
      <c r="B645" t="s">
        <v>676</v>
      </c>
      <c r="C645" t="s">
        <v>16</v>
      </c>
      <c r="D645">
        <v>28</v>
      </c>
      <c r="E645" t="s">
        <v>21</v>
      </c>
      <c r="F645">
        <v>3</v>
      </c>
      <c r="G645">
        <v>30</v>
      </c>
      <c r="H645">
        <v>90</v>
      </c>
      <c r="I645" t="s">
        <v>49</v>
      </c>
      <c r="J645" t="s">
        <v>25</v>
      </c>
    </row>
    <row r="646" spans="1:10" x14ac:dyDescent="0.25">
      <c r="A646" s="1">
        <v>45175</v>
      </c>
      <c r="B646" t="s">
        <v>677</v>
      </c>
      <c r="C646" t="s">
        <v>11</v>
      </c>
      <c r="D646">
        <v>23</v>
      </c>
      <c r="E646" t="s">
        <v>12</v>
      </c>
      <c r="F646">
        <v>3</v>
      </c>
      <c r="G646">
        <v>25</v>
      </c>
      <c r="H646">
        <v>75</v>
      </c>
      <c r="I646" t="s">
        <v>49</v>
      </c>
      <c r="J646" t="s">
        <v>34</v>
      </c>
    </row>
    <row r="647" spans="1:10" x14ac:dyDescent="0.25">
      <c r="A647" s="1">
        <v>45247</v>
      </c>
      <c r="B647" t="s">
        <v>678</v>
      </c>
      <c r="C647" t="s">
        <v>16</v>
      </c>
      <c r="D647">
        <v>35</v>
      </c>
      <c r="E647" t="s">
        <v>21</v>
      </c>
      <c r="F647">
        <v>4</v>
      </c>
      <c r="G647">
        <v>30</v>
      </c>
      <c r="H647">
        <v>120</v>
      </c>
      <c r="I647" t="s">
        <v>13</v>
      </c>
      <c r="J647" t="s">
        <v>14</v>
      </c>
    </row>
    <row r="648" spans="1:10" x14ac:dyDescent="0.25">
      <c r="A648" s="1">
        <v>45049</v>
      </c>
      <c r="B648" t="s">
        <v>679</v>
      </c>
      <c r="C648" t="s">
        <v>11</v>
      </c>
      <c r="D648">
        <v>38</v>
      </c>
      <c r="E648" t="s">
        <v>17</v>
      </c>
      <c r="F648">
        <v>3</v>
      </c>
      <c r="G648">
        <v>30</v>
      </c>
      <c r="H648">
        <v>90</v>
      </c>
      <c r="I648" t="s">
        <v>24</v>
      </c>
      <c r="J648" t="s">
        <v>34</v>
      </c>
    </row>
    <row r="649" spans="1:10" x14ac:dyDescent="0.25">
      <c r="A649" s="1">
        <v>45067</v>
      </c>
      <c r="B649" t="s">
        <v>680</v>
      </c>
      <c r="C649" t="s">
        <v>11</v>
      </c>
      <c r="D649">
        <v>59</v>
      </c>
      <c r="E649" t="s">
        <v>17</v>
      </c>
      <c r="F649">
        <v>3</v>
      </c>
      <c r="G649">
        <v>500</v>
      </c>
      <c r="H649">
        <v>1500</v>
      </c>
      <c r="I649" t="s">
        <v>24</v>
      </c>
      <c r="J649" t="s">
        <v>25</v>
      </c>
    </row>
    <row r="650" spans="1:10" x14ac:dyDescent="0.25">
      <c r="A650" s="1">
        <v>45152</v>
      </c>
      <c r="B650" t="s">
        <v>681</v>
      </c>
      <c r="C650" t="s">
        <v>11</v>
      </c>
      <c r="D650">
        <v>53</v>
      </c>
      <c r="E650" t="s">
        <v>12</v>
      </c>
      <c r="F650">
        <v>4</v>
      </c>
      <c r="G650">
        <v>300</v>
      </c>
      <c r="H650">
        <v>1200</v>
      </c>
      <c r="I650" t="s">
        <v>42</v>
      </c>
      <c r="J650" t="s">
        <v>19</v>
      </c>
    </row>
    <row r="651" spans="1:10" x14ac:dyDescent="0.25">
      <c r="A651" s="1">
        <v>44966</v>
      </c>
      <c r="B651" t="s">
        <v>682</v>
      </c>
      <c r="C651" t="s">
        <v>16</v>
      </c>
      <c r="D651">
        <v>58</v>
      </c>
      <c r="E651" t="s">
        <v>17</v>
      </c>
      <c r="F651">
        <v>2</v>
      </c>
      <c r="G651">
        <v>300</v>
      </c>
      <c r="H651">
        <v>600</v>
      </c>
      <c r="I651" t="s">
        <v>18</v>
      </c>
      <c r="J651" t="s">
        <v>58</v>
      </c>
    </row>
    <row r="652" spans="1:10" x14ac:dyDescent="0.25">
      <c r="A652" s="1">
        <v>45292</v>
      </c>
      <c r="B652" t="s">
        <v>683</v>
      </c>
      <c r="C652" t="s">
        <v>11</v>
      </c>
      <c r="D652">
        <v>55</v>
      </c>
      <c r="E652" t="s">
        <v>21</v>
      </c>
      <c r="F652">
        <v>1</v>
      </c>
      <c r="G652">
        <v>30</v>
      </c>
      <c r="H652">
        <v>30</v>
      </c>
      <c r="I652" t="s">
        <v>22</v>
      </c>
      <c r="J652" t="s">
        <v>19</v>
      </c>
    </row>
    <row r="653" spans="1:10" x14ac:dyDescent="0.25">
      <c r="A653" s="1">
        <v>45073</v>
      </c>
      <c r="B653" t="s">
        <v>684</v>
      </c>
      <c r="C653" t="s">
        <v>11</v>
      </c>
      <c r="D653">
        <v>51</v>
      </c>
      <c r="E653" t="s">
        <v>17</v>
      </c>
      <c r="F653">
        <v>3</v>
      </c>
      <c r="G653">
        <v>50</v>
      </c>
      <c r="H653">
        <v>150</v>
      </c>
      <c r="I653" t="s">
        <v>24</v>
      </c>
      <c r="J653" t="s">
        <v>27</v>
      </c>
    </row>
    <row r="654" spans="1:10" x14ac:dyDescent="0.25">
      <c r="A654" s="1">
        <v>45047</v>
      </c>
      <c r="B654" t="s">
        <v>685</v>
      </c>
      <c r="C654" t="s">
        <v>16</v>
      </c>
      <c r="D654">
        <v>34</v>
      </c>
      <c r="E654" t="s">
        <v>12</v>
      </c>
      <c r="F654">
        <v>2</v>
      </c>
      <c r="G654">
        <v>50</v>
      </c>
      <c r="H654">
        <v>100</v>
      </c>
      <c r="I654" t="s">
        <v>24</v>
      </c>
      <c r="J654" t="s">
        <v>19</v>
      </c>
    </row>
    <row r="655" spans="1:10" x14ac:dyDescent="0.25">
      <c r="A655" s="1">
        <v>45066</v>
      </c>
      <c r="B655" t="s">
        <v>686</v>
      </c>
      <c r="C655" t="s">
        <v>11</v>
      </c>
      <c r="D655">
        <v>54</v>
      </c>
      <c r="E655" t="s">
        <v>17</v>
      </c>
      <c r="F655">
        <v>3</v>
      </c>
      <c r="G655">
        <v>25</v>
      </c>
      <c r="H655">
        <v>75</v>
      </c>
      <c r="I655" t="s">
        <v>24</v>
      </c>
      <c r="J655" t="s">
        <v>27</v>
      </c>
    </row>
    <row r="656" spans="1:10" x14ac:dyDescent="0.25">
      <c r="A656" s="1">
        <v>45098</v>
      </c>
      <c r="B656" t="s">
        <v>687</v>
      </c>
      <c r="C656" t="s">
        <v>11</v>
      </c>
      <c r="D656">
        <v>42</v>
      </c>
      <c r="E656" t="s">
        <v>17</v>
      </c>
      <c r="F656">
        <v>3</v>
      </c>
      <c r="G656">
        <v>25</v>
      </c>
      <c r="H656">
        <v>75</v>
      </c>
      <c r="I656" t="s">
        <v>68</v>
      </c>
      <c r="J656" t="s">
        <v>34</v>
      </c>
    </row>
    <row r="657" spans="1:10" x14ac:dyDescent="0.25">
      <c r="A657" s="1">
        <v>45090</v>
      </c>
      <c r="B657" t="s">
        <v>688</v>
      </c>
      <c r="C657" t="s">
        <v>16</v>
      </c>
      <c r="D657">
        <v>55</v>
      </c>
      <c r="E657" t="s">
        <v>17</v>
      </c>
      <c r="F657">
        <v>1</v>
      </c>
      <c r="G657">
        <v>500</v>
      </c>
      <c r="H657">
        <v>500</v>
      </c>
      <c r="I657" t="s">
        <v>68</v>
      </c>
      <c r="J657" t="s">
        <v>30</v>
      </c>
    </row>
    <row r="658" spans="1:10" x14ac:dyDescent="0.25">
      <c r="A658" s="1">
        <v>45203</v>
      </c>
      <c r="B658" t="s">
        <v>689</v>
      </c>
      <c r="C658" t="s">
        <v>11</v>
      </c>
      <c r="D658">
        <v>29</v>
      </c>
      <c r="E658" t="s">
        <v>12</v>
      </c>
      <c r="F658">
        <v>3</v>
      </c>
      <c r="G658">
        <v>30</v>
      </c>
      <c r="H658">
        <v>90</v>
      </c>
      <c r="I658" t="s">
        <v>38</v>
      </c>
      <c r="J658" t="s">
        <v>34</v>
      </c>
    </row>
    <row r="659" spans="1:10" x14ac:dyDescent="0.25">
      <c r="A659" s="1">
        <v>44968</v>
      </c>
      <c r="B659" t="s">
        <v>690</v>
      </c>
      <c r="C659" t="s">
        <v>11</v>
      </c>
      <c r="D659">
        <v>40</v>
      </c>
      <c r="E659" t="s">
        <v>17</v>
      </c>
      <c r="F659">
        <v>1</v>
      </c>
      <c r="G659">
        <v>25</v>
      </c>
      <c r="H659">
        <v>25</v>
      </c>
      <c r="I659" t="s">
        <v>18</v>
      </c>
      <c r="J659" t="s">
        <v>27</v>
      </c>
    </row>
    <row r="660" spans="1:10" x14ac:dyDescent="0.25">
      <c r="A660" s="1">
        <v>44997</v>
      </c>
      <c r="B660" t="s">
        <v>691</v>
      </c>
      <c r="C660" t="s">
        <v>11</v>
      </c>
      <c r="D660">
        <v>59</v>
      </c>
      <c r="E660" t="s">
        <v>17</v>
      </c>
      <c r="F660">
        <v>1</v>
      </c>
      <c r="G660">
        <v>25</v>
      </c>
      <c r="H660">
        <v>25</v>
      </c>
      <c r="I660" t="s">
        <v>32</v>
      </c>
      <c r="J660" t="s">
        <v>25</v>
      </c>
    </row>
    <row r="661" spans="1:10" x14ac:dyDescent="0.25">
      <c r="A661" s="1">
        <v>45004</v>
      </c>
      <c r="B661" t="s">
        <v>692</v>
      </c>
      <c r="C661" t="s">
        <v>16</v>
      </c>
      <c r="D661">
        <v>39</v>
      </c>
      <c r="E661" t="s">
        <v>21</v>
      </c>
      <c r="F661">
        <v>1</v>
      </c>
      <c r="G661">
        <v>30</v>
      </c>
      <c r="H661">
        <v>30</v>
      </c>
      <c r="I661" t="s">
        <v>32</v>
      </c>
      <c r="J661" t="s">
        <v>25</v>
      </c>
    </row>
    <row r="662" spans="1:10" x14ac:dyDescent="0.25">
      <c r="A662" s="1">
        <v>45045</v>
      </c>
      <c r="B662" t="s">
        <v>693</v>
      </c>
      <c r="C662" t="s">
        <v>16</v>
      </c>
      <c r="D662">
        <v>38</v>
      </c>
      <c r="E662" t="s">
        <v>12</v>
      </c>
      <c r="F662">
        <v>2</v>
      </c>
      <c r="G662">
        <v>500</v>
      </c>
      <c r="H662">
        <v>1000</v>
      </c>
      <c r="I662" t="s">
        <v>29</v>
      </c>
      <c r="J662" t="s">
        <v>27</v>
      </c>
    </row>
    <row r="663" spans="1:10" x14ac:dyDescent="0.25">
      <c r="A663" s="1">
        <v>45123</v>
      </c>
      <c r="B663" t="s">
        <v>694</v>
      </c>
      <c r="C663" t="s">
        <v>16</v>
      </c>
      <c r="D663">
        <v>44</v>
      </c>
      <c r="E663" t="s">
        <v>17</v>
      </c>
      <c r="F663">
        <v>4</v>
      </c>
      <c r="G663">
        <v>25</v>
      </c>
      <c r="H663">
        <v>100</v>
      </c>
      <c r="I663" t="s">
        <v>76</v>
      </c>
      <c r="J663" t="s">
        <v>25</v>
      </c>
    </row>
    <row r="664" spans="1:10" x14ac:dyDescent="0.25">
      <c r="A664" s="1">
        <v>45282</v>
      </c>
      <c r="B664" t="s">
        <v>695</v>
      </c>
      <c r="C664" t="s">
        <v>11</v>
      </c>
      <c r="D664">
        <v>48</v>
      </c>
      <c r="E664" t="s">
        <v>12</v>
      </c>
      <c r="F664">
        <v>2</v>
      </c>
      <c r="G664">
        <v>500</v>
      </c>
      <c r="H664">
        <v>1000</v>
      </c>
      <c r="I664" t="s">
        <v>36</v>
      </c>
      <c r="J664" t="s">
        <v>14</v>
      </c>
    </row>
    <row r="665" spans="1:10" x14ac:dyDescent="0.25">
      <c r="A665" s="1">
        <v>45005</v>
      </c>
      <c r="B665" t="s">
        <v>696</v>
      </c>
      <c r="C665" t="s">
        <v>11</v>
      </c>
      <c r="D665">
        <v>23</v>
      </c>
      <c r="E665" t="s">
        <v>17</v>
      </c>
      <c r="F665">
        <v>4</v>
      </c>
      <c r="G665">
        <v>300</v>
      </c>
      <c r="H665">
        <v>1200</v>
      </c>
      <c r="I665" t="s">
        <v>32</v>
      </c>
      <c r="J665" t="s">
        <v>19</v>
      </c>
    </row>
    <row r="666" spans="1:10" x14ac:dyDescent="0.25">
      <c r="A666" s="1">
        <v>45288</v>
      </c>
      <c r="B666" t="s">
        <v>697</v>
      </c>
      <c r="C666" t="s">
        <v>16</v>
      </c>
      <c r="D666">
        <v>44</v>
      </c>
      <c r="E666" t="s">
        <v>17</v>
      </c>
      <c r="F666">
        <v>4</v>
      </c>
      <c r="G666">
        <v>500</v>
      </c>
      <c r="H666">
        <v>2000</v>
      </c>
      <c r="I666" t="s">
        <v>36</v>
      </c>
      <c r="J666" t="s">
        <v>58</v>
      </c>
    </row>
    <row r="667" spans="1:10" x14ac:dyDescent="0.25">
      <c r="A667" s="1">
        <v>45036</v>
      </c>
      <c r="B667" t="s">
        <v>698</v>
      </c>
      <c r="C667" t="s">
        <v>11</v>
      </c>
      <c r="D667">
        <v>57</v>
      </c>
      <c r="E667" t="s">
        <v>17</v>
      </c>
      <c r="F667">
        <v>1</v>
      </c>
      <c r="G667">
        <v>50</v>
      </c>
      <c r="H667">
        <v>50</v>
      </c>
      <c r="I667" t="s">
        <v>29</v>
      </c>
      <c r="J667" t="s">
        <v>58</v>
      </c>
    </row>
    <row r="668" spans="1:10" x14ac:dyDescent="0.25">
      <c r="A668" s="1">
        <v>44959</v>
      </c>
      <c r="B668" t="s">
        <v>699</v>
      </c>
      <c r="C668" t="s">
        <v>11</v>
      </c>
      <c r="D668">
        <v>51</v>
      </c>
      <c r="E668" t="s">
        <v>21</v>
      </c>
      <c r="F668">
        <v>3</v>
      </c>
      <c r="G668">
        <v>50</v>
      </c>
      <c r="H668">
        <v>150</v>
      </c>
      <c r="I668" t="s">
        <v>18</v>
      </c>
      <c r="J668" t="s">
        <v>58</v>
      </c>
    </row>
    <row r="669" spans="1:10" x14ac:dyDescent="0.25">
      <c r="A669" s="1">
        <v>45139</v>
      </c>
      <c r="B669" t="s">
        <v>700</v>
      </c>
      <c r="C669" t="s">
        <v>16</v>
      </c>
      <c r="D669">
        <v>29</v>
      </c>
      <c r="E669" t="s">
        <v>21</v>
      </c>
      <c r="F669">
        <v>1</v>
      </c>
      <c r="G669">
        <v>500</v>
      </c>
      <c r="H669">
        <v>500</v>
      </c>
      <c r="I669" t="s">
        <v>42</v>
      </c>
      <c r="J669" t="s">
        <v>30</v>
      </c>
    </row>
    <row r="670" spans="1:10" x14ac:dyDescent="0.25">
      <c r="A670" s="1">
        <v>45135</v>
      </c>
      <c r="B670" t="s">
        <v>701</v>
      </c>
      <c r="C670" t="s">
        <v>16</v>
      </c>
      <c r="D670">
        <v>62</v>
      </c>
      <c r="E670" t="s">
        <v>21</v>
      </c>
      <c r="F670">
        <v>3</v>
      </c>
      <c r="G670">
        <v>50</v>
      </c>
      <c r="H670">
        <v>150</v>
      </c>
      <c r="I670" t="s">
        <v>76</v>
      </c>
      <c r="J670" t="s">
        <v>14</v>
      </c>
    </row>
    <row r="671" spans="1:10" x14ac:dyDescent="0.25">
      <c r="A671" s="1">
        <v>45096</v>
      </c>
      <c r="B671" t="s">
        <v>702</v>
      </c>
      <c r="C671" t="s">
        <v>11</v>
      </c>
      <c r="D671">
        <v>24</v>
      </c>
      <c r="E671" t="s">
        <v>12</v>
      </c>
      <c r="F671">
        <v>4</v>
      </c>
      <c r="G671">
        <v>300</v>
      </c>
      <c r="H671">
        <v>1200</v>
      </c>
      <c r="I671" t="s">
        <v>68</v>
      </c>
      <c r="J671" t="s">
        <v>19</v>
      </c>
    </row>
    <row r="672" spans="1:10" x14ac:dyDescent="0.25">
      <c r="A672" s="1">
        <v>45204</v>
      </c>
      <c r="B672" t="s">
        <v>703</v>
      </c>
      <c r="C672" t="s">
        <v>11</v>
      </c>
      <c r="D672">
        <v>27</v>
      </c>
      <c r="E672" t="s">
        <v>12</v>
      </c>
      <c r="F672">
        <v>1</v>
      </c>
      <c r="G672">
        <v>30</v>
      </c>
      <c r="H672">
        <v>30</v>
      </c>
      <c r="I672" t="s">
        <v>38</v>
      </c>
      <c r="J672" t="s">
        <v>58</v>
      </c>
    </row>
    <row r="673" spans="1:10" x14ac:dyDescent="0.25">
      <c r="A673" s="1">
        <v>45165</v>
      </c>
      <c r="B673" t="s">
        <v>704</v>
      </c>
      <c r="C673" t="s">
        <v>11</v>
      </c>
      <c r="D673">
        <v>62</v>
      </c>
      <c r="E673" t="s">
        <v>21</v>
      </c>
      <c r="F673">
        <v>3</v>
      </c>
      <c r="G673">
        <v>50</v>
      </c>
      <c r="H673">
        <v>150</v>
      </c>
      <c r="I673" t="s">
        <v>42</v>
      </c>
      <c r="J673" t="s">
        <v>25</v>
      </c>
    </row>
    <row r="674" spans="1:10" x14ac:dyDescent="0.25">
      <c r="A674" s="1">
        <v>45139</v>
      </c>
      <c r="B674" t="s">
        <v>705</v>
      </c>
      <c r="C674" t="s">
        <v>16</v>
      </c>
      <c r="D674">
        <v>34</v>
      </c>
      <c r="E674" t="s">
        <v>12</v>
      </c>
      <c r="F674">
        <v>2</v>
      </c>
      <c r="G674">
        <v>50</v>
      </c>
      <c r="H674">
        <v>100</v>
      </c>
      <c r="I674" t="s">
        <v>42</v>
      </c>
      <c r="J674" t="s">
        <v>30</v>
      </c>
    </row>
    <row r="675" spans="1:10" x14ac:dyDescent="0.25">
      <c r="A675" s="1">
        <v>44958</v>
      </c>
      <c r="B675" t="s">
        <v>706</v>
      </c>
      <c r="C675" t="s">
        <v>16</v>
      </c>
      <c r="D675">
        <v>43</v>
      </c>
      <c r="E675" t="s">
        <v>17</v>
      </c>
      <c r="F675">
        <v>3</v>
      </c>
      <c r="G675">
        <v>500</v>
      </c>
      <c r="H675">
        <v>1500</v>
      </c>
      <c r="I675" t="s">
        <v>18</v>
      </c>
      <c r="J675" t="s">
        <v>34</v>
      </c>
    </row>
    <row r="676" spans="1:10" x14ac:dyDescent="0.25">
      <c r="A676" s="1">
        <v>45032</v>
      </c>
      <c r="B676" t="s">
        <v>707</v>
      </c>
      <c r="C676" t="s">
        <v>16</v>
      </c>
      <c r="D676">
        <v>38</v>
      </c>
      <c r="E676" t="s">
        <v>17</v>
      </c>
      <c r="F676">
        <v>1</v>
      </c>
      <c r="G676">
        <v>300</v>
      </c>
      <c r="H676">
        <v>300</v>
      </c>
      <c r="I676" t="s">
        <v>29</v>
      </c>
      <c r="J676" t="s">
        <v>25</v>
      </c>
    </row>
    <row r="677" spans="1:10" x14ac:dyDescent="0.25">
      <c r="A677" s="1">
        <v>45142</v>
      </c>
      <c r="B677" t="s">
        <v>708</v>
      </c>
      <c r="C677" t="s">
        <v>16</v>
      </c>
      <c r="D677">
        <v>45</v>
      </c>
      <c r="E677" t="s">
        <v>17</v>
      </c>
      <c r="F677">
        <v>2</v>
      </c>
      <c r="G677">
        <v>30</v>
      </c>
      <c r="H677">
        <v>60</v>
      </c>
      <c r="I677" t="s">
        <v>42</v>
      </c>
      <c r="J677" t="s">
        <v>14</v>
      </c>
    </row>
    <row r="678" spans="1:10" x14ac:dyDescent="0.25">
      <c r="A678" s="1">
        <v>45126</v>
      </c>
      <c r="B678" t="s">
        <v>709</v>
      </c>
      <c r="C678" t="s">
        <v>11</v>
      </c>
      <c r="D678">
        <v>63</v>
      </c>
      <c r="E678" t="s">
        <v>21</v>
      </c>
      <c r="F678">
        <v>3</v>
      </c>
      <c r="G678">
        <v>500</v>
      </c>
      <c r="H678">
        <v>1500</v>
      </c>
      <c r="I678" t="s">
        <v>76</v>
      </c>
      <c r="J678" t="s">
        <v>34</v>
      </c>
    </row>
    <row r="679" spans="1:10" x14ac:dyDescent="0.25">
      <c r="A679" s="1">
        <v>45226</v>
      </c>
      <c r="B679" t="s">
        <v>710</v>
      </c>
      <c r="C679" t="s">
        <v>16</v>
      </c>
      <c r="D679">
        <v>19</v>
      </c>
      <c r="E679" t="s">
        <v>12</v>
      </c>
      <c r="F679">
        <v>3</v>
      </c>
      <c r="G679">
        <v>500</v>
      </c>
      <c r="H679">
        <v>1500</v>
      </c>
      <c r="I679" t="s">
        <v>38</v>
      </c>
      <c r="J679" t="s">
        <v>14</v>
      </c>
    </row>
    <row r="680" spans="1:10" x14ac:dyDescent="0.25">
      <c r="A680" s="1">
        <v>45283</v>
      </c>
      <c r="B680" t="s">
        <v>711</v>
      </c>
      <c r="C680" t="s">
        <v>16</v>
      </c>
      <c r="D680">
        <v>60</v>
      </c>
      <c r="E680" t="s">
        <v>21</v>
      </c>
      <c r="F680">
        <v>3</v>
      </c>
      <c r="G680">
        <v>300</v>
      </c>
      <c r="H680">
        <v>900</v>
      </c>
      <c r="I680" t="s">
        <v>36</v>
      </c>
      <c r="J680" t="s">
        <v>27</v>
      </c>
    </row>
    <row r="681" spans="1:10" x14ac:dyDescent="0.25">
      <c r="A681" s="1">
        <v>44937</v>
      </c>
      <c r="B681" t="s">
        <v>712</v>
      </c>
      <c r="C681" t="s">
        <v>16</v>
      </c>
      <c r="D681">
        <v>18</v>
      </c>
      <c r="E681" t="s">
        <v>12</v>
      </c>
      <c r="F681">
        <v>3</v>
      </c>
      <c r="G681">
        <v>30</v>
      </c>
      <c r="H681">
        <v>90</v>
      </c>
      <c r="I681" t="s">
        <v>22</v>
      </c>
      <c r="J681" t="s">
        <v>34</v>
      </c>
    </row>
    <row r="682" spans="1:10" x14ac:dyDescent="0.25">
      <c r="A682" s="1">
        <v>45221</v>
      </c>
      <c r="B682" t="s">
        <v>713</v>
      </c>
      <c r="C682" t="s">
        <v>16</v>
      </c>
      <c r="D682">
        <v>53</v>
      </c>
      <c r="E682" t="s">
        <v>17</v>
      </c>
      <c r="F682">
        <v>3</v>
      </c>
      <c r="G682">
        <v>300</v>
      </c>
      <c r="H682">
        <v>900</v>
      </c>
      <c r="I682" t="s">
        <v>38</v>
      </c>
      <c r="J682" t="s">
        <v>25</v>
      </c>
    </row>
    <row r="683" spans="1:10" x14ac:dyDescent="0.25">
      <c r="A683" s="1">
        <v>45121</v>
      </c>
      <c r="B683" t="s">
        <v>714</v>
      </c>
      <c r="C683" t="s">
        <v>16</v>
      </c>
      <c r="D683">
        <v>43</v>
      </c>
      <c r="E683" t="s">
        <v>21</v>
      </c>
      <c r="F683">
        <v>2</v>
      </c>
      <c r="G683">
        <v>30</v>
      </c>
      <c r="H683">
        <v>60</v>
      </c>
      <c r="I683" t="s">
        <v>76</v>
      </c>
      <c r="J683" t="s">
        <v>14</v>
      </c>
    </row>
    <row r="684" spans="1:10" x14ac:dyDescent="0.25">
      <c r="A684" s="1">
        <v>45171</v>
      </c>
      <c r="B684" t="s">
        <v>715</v>
      </c>
      <c r="C684" t="s">
        <v>11</v>
      </c>
      <c r="D684">
        <v>46</v>
      </c>
      <c r="E684" t="s">
        <v>12</v>
      </c>
      <c r="F684">
        <v>4</v>
      </c>
      <c r="G684">
        <v>300</v>
      </c>
      <c r="H684">
        <v>1200</v>
      </c>
      <c r="I684" t="s">
        <v>49</v>
      </c>
      <c r="J684" t="s">
        <v>27</v>
      </c>
    </row>
    <row r="685" spans="1:10" x14ac:dyDescent="0.25">
      <c r="A685" s="1">
        <v>44930</v>
      </c>
      <c r="B685" t="s">
        <v>716</v>
      </c>
      <c r="C685" t="s">
        <v>11</v>
      </c>
      <c r="D685">
        <v>38</v>
      </c>
      <c r="E685" t="s">
        <v>12</v>
      </c>
      <c r="F685">
        <v>2</v>
      </c>
      <c r="G685">
        <v>500</v>
      </c>
      <c r="H685">
        <v>1000</v>
      </c>
      <c r="I685" t="s">
        <v>22</v>
      </c>
      <c r="J685" t="s">
        <v>34</v>
      </c>
    </row>
    <row r="686" spans="1:10" x14ac:dyDescent="0.25">
      <c r="A686" s="1">
        <v>45107</v>
      </c>
      <c r="B686" t="s">
        <v>717</v>
      </c>
      <c r="C686" t="s">
        <v>16</v>
      </c>
      <c r="D686">
        <v>28</v>
      </c>
      <c r="E686" t="s">
        <v>17</v>
      </c>
      <c r="F686">
        <v>2</v>
      </c>
      <c r="G686">
        <v>500</v>
      </c>
      <c r="H686">
        <v>1000</v>
      </c>
      <c r="I686" t="s">
        <v>68</v>
      </c>
      <c r="J686" t="s">
        <v>14</v>
      </c>
    </row>
    <row r="687" spans="1:10" x14ac:dyDescent="0.25">
      <c r="A687" s="1">
        <v>45079</v>
      </c>
      <c r="B687" t="s">
        <v>718</v>
      </c>
      <c r="C687" t="s">
        <v>11</v>
      </c>
      <c r="D687">
        <v>57</v>
      </c>
      <c r="E687" t="s">
        <v>21</v>
      </c>
      <c r="F687">
        <v>2</v>
      </c>
      <c r="G687">
        <v>25</v>
      </c>
      <c r="H687">
        <v>50</v>
      </c>
      <c r="I687" t="s">
        <v>68</v>
      </c>
      <c r="J687" t="s">
        <v>14</v>
      </c>
    </row>
    <row r="688" spans="1:10" x14ac:dyDescent="0.25">
      <c r="A688" s="1">
        <v>45126</v>
      </c>
      <c r="B688" t="s">
        <v>719</v>
      </c>
      <c r="C688" t="s">
        <v>16</v>
      </c>
      <c r="D688">
        <v>28</v>
      </c>
      <c r="E688" t="s">
        <v>21</v>
      </c>
      <c r="F688">
        <v>4</v>
      </c>
      <c r="G688">
        <v>50</v>
      </c>
      <c r="H688">
        <v>200</v>
      </c>
      <c r="I688" t="s">
        <v>76</v>
      </c>
      <c r="J688" t="s">
        <v>34</v>
      </c>
    </row>
    <row r="689" spans="1:10" x14ac:dyDescent="0.25">
      <c r="A689" s="1">
        <v>45141</v>
      </c>
      <c r="B689" t="s">
        <v>720</v>
      </c>
      <c r="C689" t="s">
        <v>16</v>
      </c>
      <c r="D689">
        <v>53</v>
      </c>
      <c r="E689" t="s">
        <v>21</v>
      </c>
      <c r="F689">
        <v>1</v>
      </c>
      <c r="G689">
        <v>300</v>
      </c>
      <c r="H689">
        <v>300</v>
      </c>
      <c r="I689" t="s">
        <v>42</v>
      </c>
      <c r="J689" t="s">
        <v>58</v>
      </c>
    </row>
    <row r="690" spans="1:10" x14ac:dyDescent="0.25">
      <c r="A690" s="1">
        <v>45202</v>
      </c>
      <c r="B690" t="s">
        <v>721</v>
      </c>
      <c r="C690" t="s">
        <v>11</v>
      </c>
      <c r="D690">
        <v>56</v>
      </c>
      <c r="E690" t="s">
        <v>17</v>
      </c>
      <c r="F690">
        <v>4</v>
      </c>
      <c r="G690">
        <v>25</v>
      </c>
      <c r="H690">
        <v>100</v>
      </c>
      <c r="I690" t="s">
        <v>38</v>
      </c>
      <c r="J690" t="s">
        <v>30</v>
      </c>
    </row>
    <row r="691" spans="1:10" x14ac:dyDescent="0.25">
      <c r="A691" s="1">
        <v>45206</v>
      </c>
      <c r="B691" t="s">
        <v>722</v>
      </c>
      <c r="C691" t="s">
        <v>11</v>
      </c>
      <c r="D691">
        <v>57</v>
      </c>
      <c r="E691" t="s">
        <v>21</v>
      </c>
      <c r="F691">
        <v>2</v>
      </c>
      <c r="G691">
        <v>50</v>
      </c>
      <c r="H691">
        <v>100</v>
      </c>
      <c r="I691" t="s">
        <v>38</v>
      </c>
      <c r="J691" t="s">
        <v>27</v>
      </c>
    </row>
    <row r="692" spans="1:10" x14ac:dyDescent="0.25">
      <c r="A692" s="1">
        <v>45235</v>
      </c>
      <c r="B692" t="s">
        <v>723</v>
      </c>
      <c r="C692" t="s">
        <v>16</v>
      </c>
      <c r="D692">
        <v>52</v>
      </c>
      <c r="E692" t="s">
        <v>17</v>
      </c>
      <c r="F692">
        <v>3</v>
      </c>
      <c r="G692">
        <v>300</v>
      </c>
      <c r="H692">
        <v>900</v>
      </c>
      <c r="I692" t="s">
        <v>13</v>
      </c>
      <c r="J692" t="s">
        <v>25</v>
      </c>
    </row>
    <row r="693" spans="1:10" x14ac:dyDescent="0.25">
      <c r="A693" s="1">
        <v>45039</v>
      </c>
      <c r="B693" t="s">
        <v>724</v>
      </c>
      <c r="C693" t="s">
        <v>16</v>
      </c>
      <c r="D693">
        <v>51</v>
      </c>
      <c r="E693" t="s">
        <v>17</v>
      </c>
      <c r="F693">
        <v>3</v>
      </c>
      <c r="G693">
        <v>30</v>
      </c>
      <c r="H693">
        <v>90</v>
      </c>
      <c r="I693" t="s">
        <v>29</v>
      </c>
      <c r="J693" t="s">
        <v>25</v>
      </c>
    </row>
    <row r="694" spans="1:10" x14ac:dyDescent="0.25">
      <c r="A694" s="1">
        <v>45176</v>
      </c>
      <c r="B694" t="s">
        <v>725</v>
      </c>
      <c r="C694" t="s">
        <v>16</v>
      </c>
      <c r="D694">
        <v>64</v>
      </c>
      <c r="E694" t="s">
        <v>17</v>
      </c>
      <c r="F694">
        <v>2</v>
      </c>
      <c r="G694">
        <v>50</v>
      </c>
      <c r="H694">
        <v>100</v>
      </c>
      <c r="I694" t="s">
        <v>49</v>
      </c>
      <c r="J694" t="s">
        <v>58</v>
      </c>
    </row>
    <row r="695" spans="1:10" x14ac:dyDescent="0.25">
      <c r="A695" s="1">
        <v>45039</v>
      </c>
      <c r="B695" t="s">
        <v>726</v>
      </c>
      <c r="C695" t="s">
        <v>11</v>
      </c>
      <c r="D695">
        <v>41</v>
      </c>
      <c r="E695" t="s">
        <v>12</v>
      </c>
      <c r="F695">
        <v>3</v>
      </c>
      <c r="G695">
        <v>500</v>
      </c>
      <c r="H695">
        <v>1500</v>
      </c>
      <c r="I695" t="s">
        <v>29</v>
      </c>
      <c r="J695" t="s">
        <v>25</v>
      </c>
    </row>
    <row r="696" spans="1:10" x14ac:dyDescent="0.25">
      <c r="A696" s="1">
        <v>45066</v>
      </c>
      <c r="B696" t="s">
        <v>727</v>
      </c>
      <c r="C696" t="s">
        <v>16</v>
      </c>
      <c r="D696">
        <v>39</v>
      </c>
      <c r="E696" t="s">
        <v>21</v>
      </c>
      <c r="F696">
        <v>2</v>
      </c>
      <c r="G696">
        <v>25</v>
      </c>
      <c r="H696">
        <v>50</v>
      </c>
      <c r="I696" t="s">
        <v>24</v>
      </c>
      <c r="J696" t="s">
        <v>27</v>
      </c>
    </row>
    <row r="697" spans="1:10" x14ac:dyDescent="0.25">
      <c r="A697" s="1">
        <v>45150</v>
      </c>
      <c r="B697" t="s">
        <v>728</v>
      </c>
      <c r="C697" t="s">
        <v>16</v>
      </c>
      <c r="D697">
        <v>22</v>
      </c>
      <c r="E697" t="s">
        <v>21</v>
      </c>
      <c r="F697">
        <v>3</v>
      </c>
      <c r="G697">
        <v>50</v>
      </c>
      <c r="H697">
        <v>150</v>
      </c>
      <c r="I697" t="s">
        <v>42</v>
      </c>
      <c r="J697" t="s">
        <v>27</v>
      </c>
    </row>
    <row r="698" spans="1:10" x14ac:dyDescent="0.25">
      <c r="A698" s="1">
        <v>45175</v>
      </c>
      <c r="B698" t="s">
        <v>729</v>
      </c>
      <c r="C698" t="s">
        <v>16</v>
      </c>
      <c r="D698">
        <v>50</v>
      </c>
      <c r="E698" t="s">
        <v>17</v>
      </c>
      <c r="F698">
        <v>4</v>
      </c>
      <c r="G698">
        <v>50</v>
      </c>
      <c r="H698">
        <v>200</v>
      </c>
      <c r="I698" t="s">
        <v>49</v>
      </c>
      <c r="J698" t="s">
        <v>34</v>
      </c>
    </row>
    <row r="699" spans="1:10" x14ac:dyDescent="0.25">
      <c r="A699" s="1">
        <v>44941</v>
      </c>
      <c r="B699" t="s">
        <v>730</v>
      </c>
      <c r="C699" t="s">
        <v>11</v>
      </c>
      <c r="D699">
        <v>53</v>
      </c>
      <c r="E699" t="s">
        <v>17</v>
      </c>
      <c r="F699">
        <v>1</v>
      </c>
      <c r="G699">
        <v>500</v>
      </c>
      <c r="H699">
        <v>500</v>
      </c>
      <c r="I699" t="s">
        <v>22</v>
      </c>
      <c r="J699" t="s">
        <v>25</v>
      </c>
    </row>
    <row r="700" spans="1:10" x14ac:dyDescent="0.25">
      <c r="A700" s="1">
        <v>45126</v>
      </c>
      <c r="B700" t="s">
        <v>731</v>
      </c>
      <c r="C700" t="s">
        <v>16</v>
      </c>
      <c r="D700">
        <v>64</v>
      </c>
      <c r="E700" t="s">
        <v>21</v>
      </c>
      <c r="F700">
        <v>1</v>
      </c>
      <c r="G700">
        <v>300</v>
      </c>
      <c r="H700">
        <v>300</v>
      </c>
      <c r="I700" t="s">
        <v>76</v>
      </c>
      <c r="J700" t="s">
        <v>34</v>
      </c>
    </row>
    <row r="701" spans="1:10" x14ac:dyDescent="0.25">
      <c r="A701" s="1">
        <v>45099</v>
      </c>
      <c r="B701" t="s">
        <v>732</v>
      </c>
      <c r="C701" t="s">
        <v>16</v>
      </c>
      <c r="D701">
        <v>37</v>
      </c>
      <c r="E701" t="s">
        <v>17</v>
      </c>
      <c r="F701">
        <v>4</v>
      </c>
      <c r="G701">
        <v>30</v>
      </c>
      <c r="H701">
        <v>120</v>
      </c>
      <c r="I701" t="s">
        <v>68</v>
      </c>
      <c r="J701" t="s">
        <v>58</v>
      </c>
    </row>
    <row r="702" spans="1:10" x14ac:dyDescent="0.25">
      <c r="A702" s="1">
        <v>45269</v>
      </c>
      <c r="B702" t="s">
        <v>733</v>
      </c>
      <c r="C702" t="s">
        <v>11</v>
      </c>
      <c r="D702">
        <v>36</v>
      </c>
      <c r="E702" t="s">
        <v>21</v>
      </c>
      <c r="F702">
        <v>4</v>
      </c>
      <c r="G702">
        <v>500</v>
      </c>
      <c r="H702">
        <v>2000</v>
      </c>
      <c r="I702" t="s">
        <v>36</v>
      </c>
      <c r="J702" t="s">
        <v>27</v>
      </c>
    </row>
    <row r="703" spans="1:10" x14ac:dyDescent="0.25">
      <c r="A703" s="1">
        <v>45274</v>
      </c>
      <c r="B703" t="s">
        <v>734</v>
      </c>
      <c r="C703" t="s">
        <v>16</v>
      </c>
      <c r="D703">
        <v>52</v>
      </c>
      <c r="E703" t="s">
        <v>12</v>
      </c>
      <c r="F703">
        <v>2</v>
      </c>
      <c r="G703">
        <v>30</v>
      </c>
      <c r="H703">
        <v>60</v>
      </c>
      <c r="I703" t="s">
        <v>36</v>
      </c>
      <c r="J703" t="s">
        <v>58</v>
      </c>
    </row>
    <row r="704" spans="1:10" x14ac:dyDescent="0.25">
      <c r="A704" s="1">
        <v>45134</v>
      </c>
      <c r="B704" t="s">
        <v>735</v>
      </c>
      <c r="C704" t="s">
        <v>16</v>
      </c>
      <c r="D704">
        <v>60</v>
      </c>
      <c r="E704" t="s">
        <v>17</v>
      </c>
      <c r="F704">
        <v>2</v>
      </c>
      <c r="G704">
        <v>300</v>
      </c>
      <c r="H704">
        <v>600</v>
      </c>
      <c r="I704" t="s">
        <v>76</v>
      </c>
      <c r="J704" t="s">
        <v>58</v>
      </c>
    </row>
    <row r="705" spans="1:10" x14ac:dyDescent="0.25">
      <c r="A705" s="1">
        <v>45011</v>
      </c>
      <c r="B705" t="s">
        <v>736</v>
      </c>
      <c r="C705" t="s">
        <v>11</v>
      </c>
      <c r="D705">
        <v>34</v>
      </c>
      <c r="E705" t="s">
        <v>21</v>
      </c>
      <c r="F705">
        <v>2</v>
      </c>
      <c r="G705">
        <v>50</v>
      </c>
      <c r="H705">
        <v>100</v>
      </c>
      <c r="I705" t="s">
        <v>32</v>
      </c>
      <c r="J705" t="s">
        <v>25</v>
      </c>
    </row>
    <row r="706" spans="1:10" x14ac:dyDescent="0.25">
      <c r="A706" s="1">
        <v>45166</v>
      </c>
      <c r="B706" t="s">
        <v>737</v>
      </c>
      <c r="C706" t="s">
        <v>16</v>
      </c>
      <c r="D706">
        <v>62</v>
      </c>
      <c r="E706" t="s">
        <v>17</v>
      </c>
      <c r="F706">
        <v>3</v>
      </c>
      <c r="G706">
        <v>30</v>
      </c>
      <c r="H706">
        <v>90</v>
      </c>
      <c r="I706" t="s">
        <v>42</v>
      </c>
      <c r="J706" t="s">
        <v>19</v>
      </c>
    </row>
    <row r="707" spans="1:10" x14ac:dyDescent="0.25">
      <c r="A707" s="1">
        <v>44992</v>
      </c>
      <c r="B707" t="s">
        <v>738</v>
      </c>
      <c r="C707" t="s">
        <v>11</v>
      </c>
      <c r="D707">
        <v>60</v>
      </c>
      <c r="E707" t="s">
        <v>21</v>
      </c>
      <c r="F707">
        <v>2</v>
      </c>
      <c r="G707">
        <v>25</v>
      </c>
      <c r="H707">
        <v>50</v>
      </c>
      <c r="I707" t="s">
        <v>32</v>
      </c>
      <c r="J707" t="s">
        <v>30</v>
      </c>
    </row>
    <row r="708" spans="1:10" x14ac:dyDescent="0.25">
      <c r="A708" s="1">
        <v>45245</v>
      </c>
      <c r="B708" t="s">
        <v>739</v>
      </c>
      <c r="C708" t="s">
        <v>11</v>
      </c>
      <c r="D708">
        <v>51</v>
      </c>
      <c r="E708" t="s">
        <v>21</v>
      </c>
      <c r="F708">
        <v>4</v>
      </c>
      <c r="G708">
        <v>25</v>
      </c>
      <c r="H708">
        <v>100</v>
      </c>
      <c r="I708" t="s">
        <v>13</v>
      </c>
      <c r="J708" t="s">
        <v>34</v>
      </c>
    </row>
    <row r="709" spans="1:10" x14ac:dyDescent="0.25">
      <c r="A709" s="1">
        <v>45200</v>
      </c>
      <c r="B709" t="s">
        <v>740</v>
      </c>
      <c r="C709" t="s">
        <v>16</v>
      </c>
      <c r="D709">
        <v>26</v>
      </c>
      <c r="E709" t="s">
        <v>17</v>
      </c>
      <c r="F709">
        <v>1</v>
      </c>
      <c r="G709">
        <v>500</v>
      </c>
      <c r="H709">
        <v>500</v>
      </c>
      <c r="I709" t="s">
        <v>38</v>
      </c>
      <c r="J709" t="s">
        <v>25</v>
      </c>
    </row>
    <row r="710" spans="1:10" x14ac:dyDescent="0.25">
      <c r="A710" s="1">
        <v>44940</v>
      </c>
      <c r="B710" t="s">
        <v>741</v>
      </c>
      <c r="C710" t="s">
        <v>16</v>
      </c>
      <c r="D710">
        <v>43</v>
      </c>
      <c r="E710" t="s">
        <v>12</v>
      </c>
      <c r="F710">
        <v>3</v>
      </c>
      <c r="G710">
        <v>300</v>
      </c>
      <c r="H710">
        <v>900</v>
      </c>
      <c r="I710" t="s">
        <v>22</v>
      </c>
      <c r="J710" t="s">
        <v>27</v>
      </c>
    </row>
    <row r="711" spans="1:10" x14ac:dyDescent="0.25">
      <c r="A711" s="1">
        <v>45128</v>
      </c>
      <c r="B711" t="s">
        <v>742</v>
      </c>
      <c r="C711" t="s">
        <v>16</v>
      </c>
      <c r="D711">
        <v>19</v>
      </c>
      <c r="E711" t="s">
        <v>21</v>
      </c>
      <c r="F711">
        <v>2</v>
      </c>
      <c r="G711">
        <v>500</v>
      </c>
      <c r="H711">
        <v>1000</v>
      </c>
      <c r="I711" t="s">
        <v>76</v>
      </c>
      <c r="J711" t="s">
        <v>14</v>
      </c>
    </row>
    <row r="712" spans="1:10" x14ac:dyDescent="0.25">
      <c r="A712" s="1">
        <v>45230</v>
      </c>
      <c r="B712" t="s">
        <v>743</v>
      </c>
      <c r="C712" t="s">
        <v>16</v>
      </c>
      <c r="D712">
        <v>26</v>
      </c>
      <c r="E712" t="s">
        <v>21</v>
      </c>
      <c r="F712">
        <v>3</v>
      </c>
      <c r="G712">
        <v>500</v>
      </c>
      <c r="H712">
        <v>1500</v>
      </c>
      <c r="I712" t="s">
        <v>38</v>
      </c>
      <c r="J712" t="s">
        <v>30</v>
      </c>
    </row>
    <row r="713" spans="1:10" x14ac:dyDescent="0.25">
      <c r="A713" s="1">
        <v>45215</v>
      </c>
      <c r="B713" t="s">
        <v>744</v>
      </c>
      <c r="C713" t="s">
        <v>11</v>
      </c>
      <c r="D713">
        <v>26</v>
      </c>
      <c r="E713" t="s">
        <v>21</v>
      </c>
      <c r="F713">
        <v>3</v>
      </c>
      <c r="G713">
        <v>500</v>
      </c>
      <c r="H713">
        <v>1500</v>
      </c>
      <c r="I713" t="s">
        <v>38</v>
      </c>
      <c r="J713" t="s">
        <v>19</v>
      </c>
    </row>
    <row r="714" spans="1:10" x14ac:dyDescent="0.25">
      <c r="A714" s="1">
        <v>45266</v>
      </c>
      <c r="B714" t="s">
        <v>745</v>
      </c>
      <c r="C714" t="s">
        <v>16</v>
      </c>
      <c r="D714">
        <v>57</v>
      </c>
      <c r="E714" t="s">
        <v>12</v>
      </c>
      <c r="F714">
        <v>2</v>
      </c>
      <c r="G714">
        <v>25</v>
      </c>
      <c r="H714">
        <v>50</v>
      </c>
      <c r="I714" t="s">
        <v>36</v>
      </c>
      <c r="J714" t="s">
        <v>34</v>
      </c>
    </row>
    <row r="715" spans="1:10" x14ac:dyDescent="0.25">
      <c r="A715" s="1">
        <v>44940</v>
      </c>
      <c r="B715" t="s">
        <v>746</v>
      </c>
      <c r="C715" t="s">
        <v>11</v>
      </c>
      <c r="D715">
        <v>34</v>
      </c>
      <c r="E715" t="s">
        <v>12</v>
      </c>
      <c r="F715">
        <v>3</v>
      </c>
      <c r="G715">
        <v>25</v>
      </c>
      <c r="H715">
        <v>75</v>
      </c>
      <c r="I715" t="s">
        <v>22</v>
      </c>
      <c r="J715" t="s">
        <v>27</v>
      </c>
    </row>
    <row r="716" spans="1:10" x14ac:dyDescent="0.25">
      <c r="A716" s="1">
        <v>44969</v>
      </c>
      <c r="B716" t="s">
        <v>747</v>
      </c>
      <c r="C716" t="s">
        <v>16</v>
      </c>
      <c r="D716">
        <v>18</v>
      </c>
      <c r="E716" t="s">
        <v>17</v>
      </c>
      <c r="F716">
        <v>1</v>
      </c>
      <c r="G716">
        <v>500</v>
      </c>
      <c r="H716">
        <v>500</v>
      </c>
      <c r="I716" t="s">
        <v>18</v>
      </c>
      <c r="J716" t="s">
        <v>25</v>
      </c>
    </row>
    <row r="717" spans="1:10" x14ac:dyDescent="0.25">
      <c r="A717" s="1">
        <v>45256</v>
      </c>
      <c r="B717" t="s">
        <v>748</v>
      </c>
      <c r="C717" t="s">
        <v>16</v>
      </c>
      <c r="D717">
        <v>42</v>
      </c>
      <c r="E717" t="s">
        <v>12</v>
      </c>
      <c r="F717">
        <v>4</v>
      </c>
      <c r="G717">
        <v>25</v>
      </c>
      <c r="H717">
        <v>100</v>
      </c>
      <c r="I717" t="s">
        <v>13</v>
      </c>
      <c r="J717" t="s">
        <v>25</v>
      </c>
    </row>
    <row r="718" spans="1:10" x14ac:dyDescent="0.25">
      <c r="A718" s="1">
        <v>45146</v>
      </c>
      <c r="B718" t="s">
        <v>749</v>
      </c>
      <c r="C718" t="s">
        <v>16</v>
      </c>
      <c r="D718">
        <v>60</v>
      </c>
      <c r="E718" t="s">
        <v>17</v>
      </c>
      <c r="F718">
        <v>4</v>
      </c>
      <c r="G718">
        <v>300</v>
      </c>
      <c r="H718">
        <v>1200</v>
      </c>
      <c r="I718" t="s">
        <v>42</v>
      </c>
      <c r="J718" t="s">
        <v>30</v>
      </c>
    </row>
    <row r="719" spans="1:10" x14ac:dyDescent="0.25">
      <c r="A719" s="1">
        <v>44996</v>
      </c>
      <c r="B719" t="s">
        <v>750</v>
      </c>
      <c r="C719" t="s">
        <v>11</v>
      </c>
      <c r="D719">
        <v>57</v>
      </c>
      <c r="E719" t="s">
        <v>17</v>
      </c>
      <c r="F719">
        <v>1</v>
      </c>
      <c r="G719">
        <v>500</v>
      </c>
      <c r="H719">
        <v>500</v>
      </c>
      <c r="I719" t="s">
        <v>32</v>
      </c>
      <c r="J719" t="s">
        <v>27</v>
      </c>
    </row>
    <row r="720" spans="1:10" x14ac:dyDescent="0.25">
      <c r="A720" s="1">
        <v>45163</v>
      </c>
      <c r="B720" t="s">
        <v>751</v>
      </c>
      <c r="C720" t="s">
        <v>16</v>
      </c>
      <c r="D720">
        <v>59</v>
      </c>
      <c r="E720" t="s">
        <v>12</v>
      </c>
      <c r="F720">
        <v>3</v>
      </c>
      <c r="G720">
        <v>25</v>
      </c>
      <c r="H720">
        <v>75</v>
      </c>
      <c r="I720" t="s">
        <v>42</v>
      </c>
      <c r="J720" t="s">
        <v>14</v>
      </c>
    </row>
    <row r="721" spans="1:10" x14ac:dyDescent="0.25">
      <c r="A721" s="1">
        <v>45020</v>
      </c>
      <c r="B721" t="s">
        <v>752</v>
      </c>
      <c r="C721" t="s">
        <v>16</v>
      </c>
      <c r="D721">
        <v>42</v>
      </c>
      <c r="E721" t="s">
        <v>17</v>
      </c>
      <c r="F721">
        <v>2</v>
      </c>
      <c r="G721">
        <v>30</v>
      </c>
      <c r="H721">
        <v>60</v>
      </c>
      <c r="I721" t="s">
        <v>29</v>
      </c>
      <c r="J721" t="s">
        <v>30</v>
      </c>
    </row>
    <row r="722" spans="1:10" x14ac:dyDescent="0.25">
      <c r="A722" s="1">
        <v>44952</v>
      </c>
      <c r="B722" t="s">
        <v>753</v>
      </c>
      <c r="C722" t="s">
        <v>16</v>
      </c>
      <c r="D722">
        <v>56</v>
      </c>
      <c r="E722" t="s">
        <v>12</v>
      </c>
      <c r="F722">
        <v>3</v>
      </c>
      <c r="G722">
        <v>500</v>
      </c>
      <c r="H722">
        <v>1500</v>
      </c>
      <c r="I722" t="s">
        <v>22</v>
      </c>
      <c r="J722" t="s">
        <v>58</v>
      </c>
    </row>
    <row r="723" spans="1:10" x14ac:dyDescent="0.25">
      <c r="A723" s="1">
        <v>45060</v>
      </c>
      <c r="B723" t="s">
        <v>754</v>
      </c>
      <c r="C723" t="s">
        <v>16</v>
      </c>
      <c r="D723">
        <v>52</v>
      </c>
      <c r="E723" t="s">
        <v>17</v>
      </c>
      <c r="F723">
        <v>1</v>
      </c>
      <c r="G723">
        <v>500</v>
      </c>
      <c r="H723">
        <v>500</v>
      </c>
      <c r="I723" t="s">
        <v>24</v>
      </c>
      <c r="J723" t="s">
        <v>25</v>
      </c>
    </row>
    <row r="724" spans="1:10" x14ac:dyDescent="0.25">
      <c r="A724" s="1">
        <v>45121</v>
      </c>
      <c r="B724" t="s">
        <v>755</v>
      </c>
      <c r="C724" t="s">
        <v>11</v>
      </c>
      <c r="D724">
        <v>20</v>
      </c>
      <c r="E724" t="s">
        <v>12</v>
      </c>
      <c r="F724">
        <v>3</v>
      </c>
      <c r="G724">
        <v>300</v>
      </c>
      <c r="H724">
        <v>900</v>
      </c>
      <c r="I724" t="s">
        <v>76</v>
      </c>
      <c r="J724" t="s">
        <v>14</v>
      </c>
    </row>
    <row r="725" spans="1:10" x14ac:dyDescent="0.25">
      <c r="A725" s="1">
        <v>45094</v>
      </c>
      <c r="B725" t="s">
        <v>756</v>
      </c>
      <c r="C725" t="s">
        <v>16</v>
      </c>
      <c r="D725">
        <v>54</v>
      </c>
      <c r="E725" t="s">
        <v>12</v>
      </c>
      <c r="F725">
        <v>4</v>
      </c>
      <c r="G725">
        <v>50</v>
      </c>
      <c r="H725">
        <v>200</v>
      </c>
      <c r="I725" t="s">
        <v>68</v>
      </c>
      <c r="J725" t="s">
        <v>27</v>
      </c>
    </row>
    <row r="726" spans="1:10" x14ac:dyDescent="0.25">
      <c r="A726" s="1">
        <v>45035</v>
      </c>
      <c r="B726" t="s">
        <v>757</v>
      </c>
      <c r="C726" t="s">
        <v>11</v>
      </c>
      <c r="D726">
        <v>61</v>
      </c>
      <c r="E726" t="s">
        <v>17</v>
      </c>
      <c r="F726">
        <v>3</v>
      </c>
      <c r="G726">
        <v>50</v>
      </c>
      <c r="H726">
        <v>150</v>
      </c>
      <c r="I726" t="s">
        <v>29</v>
      </c>
      <c r="J726" t="s">
        <v>34</v>
      </c>
    </row>
    <row r="727" spans="1:10" x14ac:dyDescent="0.25">
      <c r="A727" s="1">
        <v>45159</v>
      </c>
      <c r="B727" t="s">
        <v>758</v>
      </c>
      <c r="C727" t="s">
        <v>11</v>
      </c>
      <c r="D727">
        <v>61</v>
      </c>
      <c r="E727" t="s">
        <v>21</v>
      </c>
      <c r="F727">
        <v>1</v>
      </c>
      <c r="G727">
        <v>300</v>
      </c>
      <c r="H727">
        <v>300</v>
      </c>
      <c r="I727" t="s">
        <v>42</v>
      </c>
      <c r="J727" t="s">
        <v>19</v>
      </c>
    </row>
    <row r="728" spans="1:10" x14ac:dyDescent="0.25">
      <c r="A728" s="1">
        <v>45094</v>
      </c>
      <c r="B728" t="s">
        <v>759</v>
      </c>
      <c r="C728" t="s">
        <v>11</v>
      </c>
      <c r="D728">
        <v>47</v>
      </c>
      <c r="E728" t="s">
        <v>17</v>
      </c>
      <c r="F728">
        <v>4</v>
      </c>
      <c r="G728">
        <v>300</v>
      </c>
      <c r="H728">
        <v>1200</v>
      </c>
      <c r="I728" t="s">
        <v>68</v>
      </c>
      <c r="J728" t="s">
        <v>27</v>
      </c>
    </row>
    <row r="729" spans="1:10" x14ac:dyDescent="0.25">
      <c r="A729" s="1">
        <v>45099</v>
      </c>
      <c r="B729" t="s">
        <v>760</v>
      </c>
      <c r="C729" t="s">
        <v>11</v>
      </c>
      <c r="D729">
        <v>55</v>
      </c>
      <c r="E729" t="s">
        <v>12</v>
      </c>
      <c r="F729">
        <v>3</v>
      </c>
      <c r="G729">
        <v>300</v>
      </c>
      <c r="H729">
        <v>900</v>
      </c>
      <c r="I729" t="s">
        <v>68</v>
      </c>
      <c r="J729" t="s">
        <v>58</v>
      </c>
    </row>
    <row r="730" spans="1:10" x14ac:dyDescent="0.25">
      <c r="A730" s="1">
        <v>45121</v>
      </c>
      <c r="B730" t="s">
        <v>761</v>
      </c>
      <c r="C730" t="s">
        <v>11</v>
      </c>
      <c r="D730">
        <v>51</v>
      </c>
      <c r="E730" t="s">
        <v>21</v>
      </c>
      <c r="F730">
        <v>3</v>
      </c>
      <c r="G730">
        <v>50</v>
      </c>
      <c r="H730">
        <v>150</v>
      </c>
      <c r="I730" t="s">
        <v>76</v>
      </c>
      <c r="J730" t="s">
        <v>14</v>
      </c>
    </row>
    <row r="731" spans="1:10" x14ac:dyDescent="0.25">
      <c r="A731" s="1">
        <v>45069</v>
      </c>
      <c r="B731" t="s">
        <v>762</v>
      </c>
      <c r="C731" t="s">
        <v>11</v>
      </c>
      <c r="D731">
        <v>29</v>
      </c>
      <c r="E731" t="s">
        <v>17</v>
      </c>
      <c r="F731">
        <v>4</v>
      </c>
      <c r="G731">
        <v>300</v>
      </c>
      <c r="H731">
        <v>1200</v>
      </c>
      <c r="I731" t="s">
        <v>24</v>
      </c>
      <c r="J731" t="s">
        <v>30</v>
      </c>
    </row>
    <row r="732" spans="1:10" x14ac:dyDescent="0.25">
      <c r="A732" s="1">
        <v>45142</v>
      </c>
      <c r="B732" t="s">
        <v>763</v>
      </c>
      <c r="C732" t="s">
        <v>16</v>
      </c>
      <c r="D732">
        <v>36</v>
      </c>
      <c r="E732" t="s">
        <v>17</v>
      </c>
      <c r="F732">
        <v>2</v>
      </c>
      <c r="G732">
        <v>25</v>
      </c>
      <c r="H732">
        <v>50</v>
      </c>
      <c r="I732" t="s">
        <v>42</v>
      </c>
      <c r="J732" t="s">
        <v>14</v>
      </c>
    </row>
    <row r="733" spans="1:10" x14ac:dyDescent="0.25">
      <c r="A733" s="1">
        <v>45056</v>
      </c>
      <c r="B733" t="s">
        <v>764</v>
      </c>
      <c r="C733" t="s">
        <v>11</v>
      </c>
      <c r="D733">
        <v>54</v>
      </c>
      <c r="E733" t="s">
        <v>17</v>
      </c>
      <c r="F733">
        <v>4</v>
      </c>
      <c r="G733">
        <v>500</v>
      </c>
      <c r="H733">
        <v>2000</v>
      </c>
      <c r="I733" t="s">
        <v>24</v>
      </c>
      <c r="J733" t="s">
        <v>34</v>
      </c>
    </row>
    <row r="734" spans="1:10" x14ac:dyDescent="0.25">
      <c r="A734" s="1">
        <v>44968</v>
      </c>
      <c r="B734" t="s">
        <v>765</v>
      </c>
      <c r="C734" t="s">
        <v>11</v>
      </c>
      <c r="D734">
        <v>61</v>
      </c>
      <c r="E734" t="s">
        <v>21</v>
      </c>
      <c r="F734">
        <v>2</v>
      </c>
      <c r="G734">
        <v>500</v>
      </c>
      <c r="H734">
        <v>1000</v>
      </c>
      <c r="I734" t="s">
        <v>18</v>
      </c>
      <c r="J734" t="s">
        <v>27</v>
      </c>
    </row>
    <row r="735" spans="1:10" x14ac:dyDescent="0.25">
      <c r="A735" s="1">
        <v>45167</v>
      </c>
      <c r="B735" t="s">
        <v>766</v>
      </c>
      <c r="C735" t="s">
        <v>11</v>
      </c>
      <c r="D735">
        <v>34</v>
      </c>
      <c r="E735" t="s">
        <v>12</v>
      </c>
      <c r="F735">
        <v>1</v>
      </c>
      <c r="G735">
        <v>30</v>
      </c>
      <c r="H735">
        <v>30</v>
      </c>
      <c r="I735" t="s">
        <v>42</v>
      </c>
      <c r="J735" t="s">
        <v>30</v>
      </c>
    </row>
    <row r="736" spans="1:10" x14ac:dyDescent="0.25">
      <c r="A736" s="1">
        <v>44936</v>
      </c>
      <c r="B736" t="s">
        <v>767</v>
      </c>
      <c r="C736" t="s">
        <v>16</v>
      </c>
      <c r="D736">
        <v>27</v>
      </c>
      <c r="E736" t="s">
        <v>17</v>
      </c>
      <c r="F736">
        <v>1</v>
      </c>
      <c r="G736">
        <v>30</v>
      </c>
      <c r="H736">
        <v>30</v>
      </c>
      <c r="I736" t="s">
        <v>22</v>
      </c>
      <c r="J736" t="s">
        <v>30</v>
      </c>
    </row>
    <row r="737" spans="1:10" x14ac:dyDescent="0.25">
      <c r="A737" s="1">
        <v>45203</v>
      </c>
      <c r="B737" t="s">
        <v>768</v>
      </c>
      <c r="C737" t="s">
        <v>16</v>
      </c>
      <c r="D737">
        <v>64</v>
      </c>
      <c r="E737" t="s">
        <v>17</v>
      </c>
      <c r="F737">
        <v>4</v>
      </c>
      <c r="G737">
        <v>500</v>
      </c>
      <c r="H737">
        <v>2000</v>
      </c>
      <c r="I737" t="s">
        <v>38</v>
      </c>
      <c r="J737" t="s">
        <v>34</v>
      </c>
    </row>
    <row r="738" spans="1:10" x14ac:dyDescent="0.25">
      <c r="A738" s="1">
        <v>44953</v>
      </c>
      <c r="B738" t="s">
        <v>769</v>
      </c>
      <c r="C738" t="s">
        <v>11</v>
      </c>
      <c r="D738">
        <v>29</v>
      </c>
      <c r="E738" t="s">
        <v>17</v>
      </c>
      <c r="F738">
        <v>4</v>
      </c>
      <c r="G738">
        <v>25</v>
      </c>
      <c r="H738">
        <v>100</v>
      </c>
      <c r="I738" t="s">
        <v>22</v>
      </c>
      <c r="J738" t="s">
        <v>14</v>
      </c>
    </row>
    <row r="739" spans="1:10" x14ac:dyDescent="0.25">
      <c r="A739" s="1">
        <v>45106</v>
      </c>
      <c r="B739" t="s">
        <v>770</v>
      </c>
      <c r="C739" t="s">
        <v>16</v>
      </c>
      <c r="D739">
        <v>33</v>
      </c>
      <c r="E739" t="s">
        <v>17</v>
      </c>
      <c r="F739">
        <v>1</v>
      </c>
      <c r="G739">
        <v>50</v>
      </c>
      <c r="H739">
        <v>50</v>
      </c>
      <c r="I739" t="s">
        <v>68</v>
      </c>
      <c r="J739" t="s">
        <v>58</v>
      </c>
    </row>
    <row r="740" spans="1:10" x14ac:dyDescent="0.25">
      <c r="A740" s="1">
        <v>45041</v>
      </c>
      <c r="B740" t="s">
        <v>771</v>
      </c>
      <c r="C740" t="s">
        <v>11</v>
      </c>
      <c r="D740">
        <v>41</v>
      </c>
      <c r="E740" t="s">
        <v>17</v>
      </c>
      <c r="F740">
        <v>2</v>
      </c>
      <c r="G740">
        <v>50</v>
      </c>
      <c r="H740">
        <v>100</v>
      </c>
      <c r="I740" t="s">
        <v>29</v>
      </c>
      <c r="J740" t="s">
        <v>30</v>
      </c>
    </row>
    <row r="741" spans="1:10" x14ac:dyDescent="0.25">
      <c r="A741" s="1">
        <v>45259</v>
      </c>
      <c r="B741" t="s">
        <v>772</v>
      </c>
      <c r="C741" t="s">
        <v>11</v>
      </c>
      <c r="D741">
        <v>36</v>
      </c>
      <c r="E741" t="s">
        <v>12</v>
      </c>
      <c r="F741">
        <v>1</v>
      </c>
      <c r="G741">
        <v>25</v>
      </c>
      <c r="H741">
        <v>25</v>
      </c>
      <c r="I741" t="s">
        <v>13</v>
      </c>
      <c r="J741" t="s">
        <v>34</v>
      </c>
    </row>
    <row r="742" spans="1:10" x14ac:dyDescent="0.25">
      <c r="A742" s="1">
        <v>44962</v>
      </c>
      <c r="B742" t="s">
        <v>773</v>
      </c>
      <c r="C742" t="s">
        <v>16</v>
      </c>
      <c r="D742">
        <v>25</v>
      </c>
      <c r="E742" t="s">
        <v>12</v>
      </c>
      <c r="F742">
        <v>4</v>
      </c>
      <c r="G742">
        <v>50</v>
      </c>
      <c r="H742">
        <v>200</v>
      </c>
      <c r="I742" t="s">
        <v>18</v>
      </c>
      <c r="J742" t="s">
        <v>25</v>
      </c>
    </row>
    <row r="743" spans="1:10" x14ac:dyDescent="0.25">
      <c r="A743" s="1">
        <v>45260</v>
      </c>
      <c r="B743" t="s">
        <v>774</v>
      </c>
      <c r="C743" t="s">
        <v>11</v>
      </c>
      <c r="D743">
        <v>48</v>
      </c>
      <c r="E743" t="s">
        <v>17</v>
      </c>
      <c r="F743">
        <v>1</v>
      </c>
      <c r="G743">
        <v>300</v>
      </c>
      <c r="H743">
        <v>300</v>
      </c>
      <c r="I743" t="s">
        <v>13</v>
      </c>
      <c r="J743" t="s">
        <v>58</v>
      </c>
    </row>
    <row r="744" spans="1:10" x14ac:dyDescent="0.25">
      <c r="A744" s="1">
        <v>44947</v>
      </c>
      <c r="B744" t="s">
        <v>775</v>
      </c>
      <c r="C744" t="s">
        <v>16</v>
      </c>
      <c r="D744">
        <v>38</v>
      </c>
      <c r="E744" t="s">
        <v>21</v>
      </c>
      <c r="F744">
        <v>4</v>
      </c>
      <c r="G744">
        <v>500</v>
      </c>
      <c r="H744">
        <v>2000</v>
      </c>
      <c r="I744" t="s">
        <v>22</v>
      </c>
      <c r="J744" t="s">
        <v>27</v>
      </c>
    </row>
    <row r="745" spans="1:10" x14ac:dyDescent="0.25">
      <c r="A745" s="1">
        <v>44942</v>
      </c>
      <c r="B745" t="s">
        <v>776</v>
      </c>
      <c r="C745" t="s">
        <v>16</v>
      </c>
      <c r="D745">
        <v>34</v>
      </c>
      <c r="E745" t="s">
        <v>12</v>
      </c>
      <c r="F745">
        <v>4</v>
      </c>
      <c r="G745">
        <v>500</v>
      </c>
      <c r="H745">
        <v>2000</v>
      </c>
      <c r="I745" t="s">
        <v>22</v>
      </c>
      <c r="J745" t="s">
        <v>19</v>
      </c>
    </row>
    <row r="746" spans="1:10" x14ac:dyDescent="0.25">
      <c r="A746" s="1">
        <v>45053</v>
      </c>
      <c r="B746" t="s">
        <v>777</v>
      </c>
      <c r="C746" t="s">
        <v>11</v>
      </c>
      <c r="D746">
        <v>40</v>
      </c>
      <c r="E746" t="s">
        <v>21</v>
      </c>
      <c r="F746">
        <v>1</v>
      </c>
      <c r="G746">
        <v>25</v>
      </c>
      <c r="H746">
        <v>25</v>
      </c>
      <c r="I746" t="s">
        <v>24</v>
      </c>
      <c r="J746" t="s">
        <v>25</v>
      </c>
    </row>
    <row r="747" spans="1:10" x14ac:dyDescent="0.25">
      <c r="A747" s="1">
        <v>45029</v>
      </c>
      <c r="B747" t="s">
        <v>778</v>
      </c>
      <c r="C747" t="s">
        <v>11</v>
      </c>
      <c r="D747">
        <v>54</v>
      </c>
      <c r="E747" t="s">
        <v>12</v>
      </c>
      <c r="F747">
        <v>2</v>
      </c>
      <c r="G747">
        <v>50</v>
      </c>
      <c r="H747">
        <v>100</v>
      </c>
      <c r="I747" t="s">
        <v>29</v>
      </c>
      <c r="J747" t="s">
        <v>58</v>
      </c>
    </row>
    <row r="748" spans="1:10" x14ac:dyDescent="0.25">
      <c r="A748" s="1">
        <v>44937</v>
      </c>
      <c r="B748" t="s">
        <v>779</v>
      </c>
      <c r="C748" t="s">
        <v>16</v>
      </c>
      <c r="D748">
        <v>33</v>
      </c>
      <c r="E748" t="s">
        <v>17</v>
      </c>
      <c r="F748">
        <v>3</v>
      </c>
      <c r="G748">
        <v>30</v>
      </c>
      <c r="H748">
        <v>90</v>
      </c>
      <c r="I748" t="s">
        <v>22</v>
      </c>
      <c r="J748" t="s">
        <v>34</v>
      </c>
    </row>
    <row r="749" spans="1:10" x14ac:dyDescent="0.25">
      <c r="A749" s="1">
        <v>45245</v>
      </c>
      <c r="B749" t="s">
        <v>780</v>
      </c>
      <c r="C749" t="s">
        <v>11</v>
      </c>
      <c r="D749">
        <v>23</v>
      </c>
      <c r="E749" t="s">
        <v>12</v>
      </c>
      <c r="F749">
        <v>1</v>
      </c>
      <c r="G749">
        <v>30</v>
      </c>
      <c r="H749">
        <v>30</v>
      </c>
      <c r="I749" t="s">
        <v>13</v>
      </c>
      <c r="J749" t="s">
        <v>34</v>
      </c>
    </row>
    <row r="750" spans="1:10" x14ac:dyDescent="0.25">
      <c r="A750" s="1">
        <v>45005</v>
      </c>
      <c r="B750" t="s">
        <v>781</v>
      </c>
      <c r="C750" t="s">
        <v>11</v>
      </c>
      <c r="D750">
        <v>25</v>
      </c>
      <c r="E750" t="s">
        <v>17</v>
      </c>
      <c r="F750">
        <v>3</v>
      </c>
      <c r="G750">
        <v>50</v>
      </c>
      <c r="H750">
        <v>150</v>
      </c>
      <c r="I750" t="s">
        <v>32</v>
      </c>
      <c r="J750" t="s">
        <v>19</v>
      </c>
    </row>
    <row r="751" spans="1:10" x14ac:dyDescent="0.25">
      <c r="A751" s="1">
        <v>45049</v>
      </c>
      <c r="B751" t="s">
        <v>782</v>
      </c>
      <c r="C751" t="s">
        <v>11</v>
      </c>
      <c r="D751">
        <v>42</v>
      </c>
      <c r="E751" t="s">
        <v>12</v>
      </c>
      <c r="F751">
        <v>1</v>
      </c>
      <c r="G751">
        <v>30</v>
      </c>
      <c r="H751">
        <v>30</v>
      </c>
      <c r="I751" t="s">
        <v>24</v>
      </c>
      <c r="J751" t="s">
        <v>34</v>
      </c>
    </row>
    <row r="752" spans="1:10" x14ac:dyDescent="0.25">
      <c r="A752" s="1">
        <v>44991</v>
      </c>
      <c r="B752" t="s">
        <v>783</v>
      </c>
      <c r="C752" t="s">
        <v>16</v>
      </c>
      <c r="D752">
        <v>35</v>
      </c>
      <c r="E752" t="s">
        <v>17</v>
      </c>
      <c r="F752">
        <v>3</v>
      </c>
      <c r="G752">
        <v>25</v>
      </c>
      <c r="H752">
        <v>75</v>
      </c>
      <c r="I752" t="s">
        <v>32</v>
      </c>
      <c r="J752" t="s">
        <v>19</v>
      </c>
    </row>
    <row r="753" spans="1:10" x14ac:dyDescent="0.25">
      <c r="A753" s="1">
        <v>45169</v>
      </c>
      <c r="B753" t="s">
        <v>784</v>
      </c>
      <c r="C753" t="s">
        <v>16</v>
      </c>
      <c r="D753">
        <v>42</v>
      </c>
      <c r="E753" t="s">
        <v>17</v>
      </c>
      <c r="F753">
        <v>2</v>
      </c>
      <c r="G753">
        <v>25</v>
      </c>
      <c r="H753">
        <v>50</v>
      </c>
      <c r="I753" t="s">
        <v>42</v>
      </c>
      <c r="J753" t="s">
        <v>58</v>
      </c>
    </row>
    <row r="754" spans="1:10" x14ac:dyDescent="0.25">
      <c r="A754" s="1">
        <v>45269</v>
      </c>
      <c r="B754" t="s">
        <v>785</v>
      </c>
      <c r="C754" t="s">
        <v>11</v>
      </c>
      <c r="D754">
        <v>29</v>
      </c>
      <c r="E754" t="s">
        <v>17</v>
      </c>
      <c r="F754">
        <v>2</v>
      </c>
      <c r="G754">
        <v>50</v>
      </c>
      <c r="H754">
        <v>100</v>
      </c>
      <c r="I754" t="s">
        <v>36</v>
      </c>
      <c r="J754" t="s">
        <v>27</v>
      </c>
    </row>
    <row r="755" spans="1:10" x14ac:dyDescent="0.25">
      <c r="A755" s="1">
        <v>44985</v>
      </c>
      <c r="B755" t="s">
        <v>786</v>
      </c>
      <c r="C755" t="s">
        <v>16</v>
      </c>
      <c r="D755">
        <v>32</v>
      </c>
      <c r="E755" t="s">
        <v>17</v>
      </c>
      <c r="F755">
        <v>1</v>
      </c>
      <c r="G755">
        <v>30</v>
      </c>
      <c r="H755">
        <v>30</v>
      </c>
      <c r="I755" t="s">
        <v>18</v>
      </c>
      <c r="J755" t="s">
        <v>30</v>
      </c>
    </row>
    <row r="756" spans="1:10" x14ac:dyDescent="0.25">
      <c r="A756" s="1">
        <v>45215</v>
      </c>
      <c r="B756" t="s">
        <v>787</v>
      </c>
      <c r="C756" t="s">
        <v>16</v>
      </c>
      <c r="D756">
        <v>43</v>
      </c>
      <c r="E756" t="s">
        <v>21</v>
      </c>
      <c r="F756">
        <v>4</v>
      </c>
      <c r="G756">
        <v>25</v>
      </c>
      <c r="H756">
        <v>100</v>
      </c>
      <c r="I756" t="s">
        <v>38</v>
      </c>
      <c r="J756" t="s">
        <v>19</v>
      </c>
    </row>
    <row r="757" spans="1:10" x14ac:dyDescent="0.25">
      <c r="A757" s="1">
        <v>45038</v>
      </c>
      <c r="B757" t="s">
        <v>788</v>
      </c>
      <c r="C757" t="s">
        <v>16</v>
      </c>
      <c r="D757">
        <v>58</v>
      </c>
      <c r="E757" t="s">
        <v>17</v>
      </c>
      <c r="F757">
        <v>3</v>
      </c>
      <c r="G757">
        <v>25</v>
      </c>
      <c r="H757">
        <v>75</v>
      </c>
      <c r="I757" t="s">
        <v>29</v>
      </c>
      <c r="J757" t="s">
        <v>27</v>
      </c>
    </row>
    <row r="758" spans="1:10" x14ac:dyDescent="0.25">
      <c r="A758" s="1">
        <v>45165</v>
      </c>
      <c r="B758" t="s">
        <v>789</v>
      </c>
      <c r="C758" t="s">
        <v>16</v>
      </c>
      <c r="D758">
        <v>62</v>
      </c>
      <c r="E758" t="s">
        <v>21</v>
      </c>
      <c r="F758">
        <v>4</v>
      </c>
      <c r="G758">
        <v>300</v>
      </c>
      <c r="H758">
        <v>1200</v>
      </c>
      <c r="I758" t="s">
        <v>42</v>
      </c>
      <c r="J758" t="s">
        <v>25</v>
      </c>
    </row>
    <row r="759" spans="1:10" x14ac:dyDescent="0.25">
      <c r="A759" s="1">
        <v>45285</v>
      </c>
      <c r="B759" t="s">
        <v>790</v>
      </c>
      <c r="C759" t="s">
        <v>16</v>
      </c>
      <c r="D759">
        <v>43</v>
      </c>
      <c r="E759" t="s">
        <v>21</v>
      </c>
      <c r="F759">
        <v>4</v>
      </c>
      <c r="G759">
        <v>300</v>
      </c>
      <c r="H759">
        <v>1200</v>
      </c>
      <c r="I759" t="s">
        <v>36</v>
      </c>
      <c r="J759" t="s">
        <v>19</v>
      </c>
    </row>
    <row r="760" spans="1:10" x14ac:dyDescent="0.25">
      <c r="A760" s="1">
        <v>45058</v>
      </c>
      <c r="B760" t="s">
        <v>791</v>
      </c>
      <c r="C760" t="s">
        <v>11</v>
      </c>
      <c r="D760">
        <v>64</v>
      </c>
      <c r="E760" t="s">
        <v>17</v>
      </c>
      <c r="F760">
        <v>4</v>
      </c>
      <c r="G760">
        <v>25</v>
      </c>
      <c r="H760">
        <v>100</v>
      </c>
      <c r="I760" t="s">
        <v>24</v>
      </c>
      <c r="J760" t="s">
        <v>14</v>
      </c>
    </row>
    <row r="761" spans="1:10" x14ac:dyDescent="0.25">
      <c r="A761" s="1">
        <v>45115</v>
      </c>
      <c r="B761" t="s">
        <v>792</v>
      </c>
      <c r="C761" t="s">
        <v>11</v>
      </c>
      <c r="D761">
        <v>49</v>
      </c>
      <c r="E761" t="s">
        <v>21</v>
      </c>
      <c r="F761">
        <v>2</v>
      </c>
      <c r="G761">
        <v>50</v>
      </c>
      <c r="H761">
        <v>100</v>
      </c>
      <c r="I761" t="s">
        <v>76</v>
      </c>
      <c r="J761" t="s">
        <v>27</v>
      </c>
    </row>
    <row r="762" spans="1:10" x14ac:dyDescent="0.25">
      <c r="A762" s="1">
        <v>45012</v>
      </c>
      <c r="B762" t="s">
        <v>793</v>
      </c>
      <c r="C762" t="s">
        <v>11</v>
      </c>
      <c r="D762">
        <v>27</v>
      </c>
      <c r="E762" t="s">
        <v>12</v>
      </c>
      <c r="F762">
        <v>1</v>
      </c>
      <c r="G762">
        <v>500</v>
      </c>
      <c r="H762">
        <v>500</v>
      </c>
      <c r="I762" t="s">
        <v>32</v>
      </c>
      <c r="J762" t="s">
        <v>19</v>
      </c>
    </row>
    <row r="763" spans="1:10" x14ac:dyDescent="0.25">
      <c r="A763" s="1">
        <v>45237</v>
      </c>
      <c r="B763" t="s">
        <v>794</v>
      </c>
      <c r="C763" t="s">
        <v>16</v>
      </c>
      <c r="D763">
        <v>33</v>
      </c>
      <c r="E763" t="s">
        <v>17</v>
      </c>
      <c r="F763">
        <v>1</v>
      </c>
      <c r="G763">
        <v>500</v>
      </c>
      <c r="H763">
        <v>500</v>
      </c>
      <c r="I763" t="s">
        <v>13</v>
      </c>
      <c r="J763" t="s">
        <v>30</v>
      </c>
    </row>
    <row r="764" spans="1:10" x14ac:dyDescent="0.25">
      <c r="A764" s="1">
        <v>45237</v>
      </c>
      <c r="B764" t="s">
        <v>795</v>
      </c>
      <c r="C764" t="s">
        <v>16</v>
      </c>
      <c r="D764">
        <v>24</v>
      </c>
      <c r="E764" t="s">
        <v>21</v>
      </c>
      <c r="F764">
        <v>2</v>
      </c>
      <c r="G764">
        <v>25</v>
      </c>
      <c r="H764">
        <v>50</v>
      </c>
      <c r="I764" t="s">
        <v>13</v>
      </c>
      <c r="J764" t="s">
        <v>30</v>
      </c>
    </row>
    <row r="765" spans="1:10" x14ac:dyDescent="0.25">
      <c r="A765" s="1">
        <v>44985</v>
      </c>
      <c r="B765" t="s">
        <v>796</v>
      </c>
      <c r="C765" t="s">
        <v>11</v>
      </c>
      <c r="D765">
        <v>34</v>
      </c>
      <c r="E765" t="s">
        <v>17</v>
      </c>
      <c r="F765">
        <v>2</v>
      </c>
      <c r="G765">
        <v>25</v>
      </c>
      <c r="H765">
        <v>50</v>
      </c>
      <c r="I765" t="s">
        <v>18</v>
      </c>
      <c r="J765" t="s">
        <v>30</v>
      </c>
    </row>
    <row r="766" spans="1:10" x14ac:dyDescent="0.25">
      <c r="A766" s="1">
        <v>45010</v>
      </c>
      <c r="B766" t="s">
        <v>797</v>
      </c>
      <c r="C766" t="s">
        <v>16</v>
      </c>
      <c r="D766">
        <v>40</v>
      </c>
      <c r="E766" t="s">
        <v>17</v>
      </c>
      <c r="F766">
        <v>1</v>
      </c>
      <c r="G766">
        <v>25</v>
      </c>
      <c r="H766">
        <v>25</v>
      </c>
      <c r="I766" t="s">
        <v>32</v>
      </c>
      <c r="J766" t="s">
        <v>27</v>
      </c>
    </row>
    <row r="767" spans="1:10" x14ac:dyDescent="0.25">
      <c r="A767" s="1">
        <v>45086</v>
      </c>
      <c r="B767" t="s">
        <v>798</v>
      </c>
      <c r="C767" t="s">
        <v>11</v>
      </c>
      <c r="D767">
        <v>43</v>
      </c>
      <c r="E767" t="s">
        <v>17</v>
      </c>
      <c r="F767">
        <v>4</v>
      </c>
      <c r="G767">
        <v>50</v>
      </c>
      <c r="H767">
        <v>200</v>
      </c>
      <c r="I767" t="s">
        <v>68</v>
      </c>
      <c r="J767" t="s">
        <v>14</v>
      </c>
    </row>
    <row r="768" spans="1:10" x14ac:dyDescent="0.25">
      <c r="A768" s="1">
        <v>44982</v>
      </c>
      <c r="B768" t="s">
        <v>799</v>
      </c>
      <c r="C768" t="s">
        <v>11</v>
      </c>
      <c r="D768">
        <v>38</v>
      </c>
      <c r="E768" t="s">
        <v>21</v>
      </c>
      <c r="F768">
        <v>3</v>
      </c>
      <c r="G768">
        <v>300</v>
      </c>
      <c r="H768">
        <v>900</v>
      </c>
      <c r="I768" t="s">
        <v>18</v>
      </c>
      <c r="J768" t="s">
        <v>27</v>
      </c>
    </row>
    <row r="769" spans="1:10" x14ac:dyDescent="0.25">
      <c r="A769" s="1">
        <v>45223</v>
      </c>
      <c r="B769" t="s">
        <v>800</v>
      </c>
      <c r="C769" t="s">
        <v>11</v>
      </c>
      <c r="D769">
        <v>39</v>
      </c>
      <c r="E769" t="s">
        <v>12</v>
      </c>
      <c r="F769">
        <v>3</v>
      </c>
      <c r="G769">
        <v>25</v>
      </c>
      <c r="H769">
        <v>75</v>
      </c>
      <c r="I769" t="s">
        <v>38</v>
      </c>
      <c r="J769" t="s">
        <v>30</v>
      </c>
    </row>
    <row r="770" spans="1:10" x14ac:dyDescent="0.25">
      <c r="A770" s="1">
        <v>44940</v>
      </c>
      <c r="B770" t="s">
        <v>801</v>
      </c>
      <c r="C770" t="s">
        <v>16</v>
      </c>
      <c r="D770">
        <v>24</v>
      </c>
      <c r="E770" t="s">
        <v>12</v>
      </c>
      <c r="F770">
        <v>3</v>
      </c>
      <c r="G770">
        <v>25</v>
      </c>
      <c r="H770">
        <v>75</v>
      </c>
      <c r="I770" t="s">
        <v>22</v>
      </c>
      <c r="J770" t="s">
        <v>27</v>
      </c>
    </row>
    <row r="771" spans="1:10" x14ac:dyDescent="0.25">
      <c r="A771" s="1">
        <v>45086</v>
      </c>
      <c r="B771" t="s">
        <v>802</v>
      </c>
      <c r="C771" t="s">
        <v>16</v>
      </c>
      <c r="D771">
        <v>31</v>
      </c>
      <c r="E771" t="s">
        <v>21</v>
      </c>
      <c r="F771">
        <v>4</v>
      </c>
      <c r="G771">
        <v>30</v>
      </c>
      <c r="H771">
        <v>120</v>
      </c>
      <c r="I771" t="s">
        <v>68</v>
      </c>
      <c r="J771" t="s">
        <v>14</v>
      </c>
    </row>
    <row r="772" spans="1:10" x14ac:dyDescent="0.25">
      <c r="A772" s="1">
        <v>45221</v>
      </c>
      <c r="B772" t="s">
        <v>803</v>
      </c>
      <c r="C772" t="s">
        <v>11</v>
      </c>
      <c r="D772">
        <v>32</v>
      </c>
      <c r="E772" t="s">
        <v>17</v>
      </c>
      <c r="F772">
        <v>1</v>
      </c>
      <c r="G772">
        <v>50</v>
      </c>
      <c r="H772">
        <v>50</v>
      </c>
      <c r="I772" t="s">
        <v>38</v>
      </c>
      <c r="J772" t="s">
        <v>25</v>
      </c>
    </row>
    <row r="773" spans="1:10" x14ac:dyDescent="0.25">
      <c r="A773" s="1">
        <v>45273</v>
      </c>
      <c r="B773" t="s">
        <v>804</v>
      </c>
      <c r="C773" t="s">
        <v>11</v>
      </c>
      <c r="D773">
        <v>24</v>
      </c>
      <c r="E773" t="s">
        <v>21</v>
      </c>
      <c r="F773">
        <v>2</v>
      </c>
      <c r="G773">
        <v>25</v>
      </c>
      <c r="H773">
        <v>50</v>
      </c>
      <c r="I773" t="s">
        <v>36</v>
      </c>
      <c r="J773" t="s">
        <v>34</v>
      </c>
    </row>
    <row r="774" spans="1:10" x14ac:dyDescent="0.25">
      <c r="A774" s="1">
        <v>45119</v>
      </c>
      <c r="B774" t="s">
        <v>805</v>
      </c>
      <c r="C774" t="s">
        <v>11</v>
      </c>
      <c r="D774">
        <v>26</v>
      </c>
      <c r="E774" t="s">
        <v>21</v>
      </c>
      <c r="F774">
        <v>1</v>
      </c>
      <c r="G774">
        <v>30</v>
      </c>
      <c r="H774">
        <v>30</v>
      </c>
      <c r="I774" t="s">
        <v>76</v>
      </c>
      <c r="J774" t="s">
        <v>34</v>
      </c>
    </row>
    <row r="775" spans="1:10" x14ac:dyDescent="0.25">
      <c r="A775" s="1">
        <v>45130</v>
      </c>
      <c r="B775" t="s">
        <v>806</v>
      </c>
      <c r="C775" t="s">
        <v>11</v>
      </c>
      <c r="D775">
        <v>25</v>
      </c>
      <c r="E775" t="s">
        <v>21</v>
      </c>
      <c r="F775">
        <v>4</v>
      </c>
      <c r="G775">
        <v>500</v>
      </c>
      <c r="H775">
        <v>2000</v>
      </c>
      <c r="I775" t="s">
        <v>76</v>
      </c>
      <c r="J775" t="s">
        <v>25</v>
      </c>
    </row>
    <row r="776" spans="1:10" x14ac:dyDescent="0.25">
      <c r="A776" s="1">
        <v>45028</v>
      </c>
      <c r="B776" t="s">
        <v>807</v>
      </c>
      <c r="C776" t="s">
        <v>16</v>
      </c>
      <c r="D776">
        <v>40</v>
      </c>
      <c r="E776" t="s">
        <v>17</v>
      </c>
      <c r="F776">
        <v>2</v>
      </c>
      <c r="G776">
        <v>25</v>
      </c>
      <c r="H776">
        <v>50</v>
      </c>
      <c r="I776" t="s">
        <v>29</v>
      </c>
      <c r="J776" t="s">
        <v>34</v>
      </c>
    </row>
    <row r="777" spans="1:10" x14ac:dyDescent="0.25">
      <c r="A777" s="1">
        <v>44965</v>
      </c>
      <c r="B777" t="s">
        <v>808</v>
      </c>
      <c r="C777" t="s">
        <v>16</v>
      </c>
      <c r="D777">
        <v>46</v>
      </c>
      <c r="E777" t="s">
        <v>21</v>
      </c>
      <c r="F777">
        <v>4</v>
      </c>
      <c r="G777">
        <v>25</v>
      </c>
      <c r="H777">
        <v>100</v>
      </c>
      <c r="I777" t="s">
        <v>18</v>
      </c>
      <c r="J777" t="s">
        <v>34</v>
      </c>
    </row>
    <row r="778" spans="1:10" x14ac:dyDescent="0.25">
      <c r="A778" s="1">
        <v>45230</v>
      </c>
      <c r="B778" t="s">
        <v>809</v>
      </c>
      <c r="C778" t="s">
        <v>11</v>
      </c>
      <c r="D778">
        <v>35</v>
      </c>
      <c r="E778" t="s">
        <v>17</v>
      </c>
      <c r="F778">
        <v>3</v>
      </c>
      <c r="G778">
        <v>30</v>
      </c>
      <c r="H778">
        <v>90</v>
      </c>
      <c r="I778" t="s">
        <v>38</v>
      </c>
      <c r="J778" t="s">
        <v>30</v>
      </c>
    </row>
    <row r="779" spans="1:10" x14ac:dyDescent="0.25">
      <c r="A779" s="1">
        <v>45280</v>
      </c>
      <c r="B779" t="s">
        <v>810</v>
      </c>
      <c r="C779" t="s">
        <v>11</v>
      </c>
      <c r="D779">
        <v>48</v>
      </c>
      <c r="E779" t="s">
        <v>21</v>
      </c>
      <c r="F779">
        <v>3</v>
      </c>
      <c r="G779">
        <v>50</v>
      </c>
      <c r="H779">
        <v>150</v>
      </c>
      <c r="I779" t="s">
        <v>36</v>
      </c>
      <c r="J779" t="s">
        <v>34</v>
      </c>
    </row>
    <row r="780" spans="1:10" x14ac:dyDescent="0.25">
      <c r="A780" s="1">
        <v>45248</v>
      </c>
      <c r="B780" t="s">
        <v>811</v>
      </c>
      <c r="C780" t="s">
        <v>16</v>
      </c>
      <c r="D780">
        <v>47</v>
      </c>
      <c r="E780" t="s">
        <v>12</v>
      </c>
      <c r="F780">
        <v>4</v>
      </c>
      <c r="G780">
        <v>25</v>
      </c>
      <c r="H780">
        <v>100</v>
      </c>
      <c r="I780" t="s">
        <v>13</v>
      </c>
      <c r="J780" t="s">
        <v>27</v>
      </c>
    </row>
    <row r="781" spans="1:10" x14ac:dyDescent="0.25">
      <c r="A781" s="1">
        <v>45051</v>
      </c>
      <c r="B781" t="s">
        <v>812</v>
      </c>
      <c r="C781" t="s">
        <v>16</v>
      </c>
      <c r="D781">
        <v>56</v>
      </c>
      <c r="E781" t="s">
        <v>21</v>
      </c>
      <c r="F781">
        <v>2</v>
      </c>
      <c r="G781">
        <v>500</v>
      </c>
      <c r="H781">
        <v>1000</v>
      </c>
      <c r="I781" t="s">
        <v>24</v>
      </c>
      <c r="J781" t="s">
        <v>14</v>
      </c>
    </row>
    <row r="782" spans="1:10" x14ac:dyDescent="0.25">
      <c r="A782" s="1">
        <v>44979</v>
      </c>
      <c r="B782" t="s">
        <v>813</v>
      </c>
      <c r="C782" t="s">
        <v>11</v>
      </c>
      <c r="D782">
        <v>52</v>
      </c>
      <c r="E782" t="s">
        <v>21</v>
      </c>
      <c r="F782">
        <v>2</v>
      </c>
      <c r="G782">
        <v>25</v>
      </c>
      <c r="H782">
        <v>50</v>
      </c>
      <c r="I782" t="s">
        <v>18</v>
      </c>
      <c r="J782" t="s">
        <v>34</v>
      </c>
    </row>
    <row r="783" spans="1:10" x14ac:dyDescent="0.25">
      <c r="A783" s="1">
        <v>45283</v>
      </c>
      <c r="B783" t="s">
        <v>814</v>
      </c>
      <c r="C783" t="s">
        <v>11</v>
      </c>
      <c r="D783">
        <v>35</v>
      </c>
      <c r="E783" t="s">
        <v>12</v>
      </c>
      <c r="F783">
        <v>1</v>
      </c>
      <c r="G783">
        <v>500</v>
      </c>
      <c r="H783">
        <v>500</v>
      </c>
      <c r="I783" t="s">
        <v>36</v>
      </c>
      <c r="J783" t="s">
        <v>27</v>
      </c>
    </row>
    <row r="784" spans="1:10" x14ac:dyDescent="0.25">
      <c r="A784" s="1">
        <v>45081</v>
      </c>
      <c r="B784" t="s">
        <v>815</v>
      </c>
      <c r="C784" t="s">
        <v>11</v>
      </c>
      <c r="D784">
        <v>59</v>
      </c>
      <c r="E784" t="s">
        <v>17</v>
      </c>
      <c r="F784">
        <v>3</v>
      </c>
      <c r="G784">
        <v>300</v>
      </c>
      <c r="H784">
        <v>900</v>
      </c>
      <c r="I784" t="s">
        <v>68</v>
      </c>
      <c r="J784" t="s">
        <v>25</v>
      </c>
    </row>
    <row r="785" spans="1:10" x14ac:dyDescent="0.25">
      <c r="A785" s="1">
        <v>45277</v>
      </c>
      <c r="B785" t="s">
        <v>816</v>
      </c>
      <c r="C785" t="s">
        <v>16</v>
      </c>
      <c r="D785">
        <v>56</v>
      </c>
      <c r="E785" t="s">
        <v>17</v>
      </c>
      <c r="F785">
        <v>1</v>
      </c>
      <c r="G785">
        <v>300</v>
      </c>
      <c r="H785">
        <v>300</v>
      </c>
      <c r="I785" t="s">
        <v>36</v>
      </c>
      <c r="J785" t="s">
        <v>25</v>
      </c>
    </row>
    <row r="786" spans="1:10" x14ac:dyDescent="0.25">
      <c r="A786" s="1">
        <v>45234</v>
      </c>
      <c r="B786" t="s">
        <v>817</v>
      </c>
      <c r="C786" t="s">
        <v>16</v>
      </c>
      <c r="D786">
        <v>34</v>
      </c>
      <c r="E786" t="s">
        <v>21</v>
      </c>
      <c r="F786">
        <v>1</v>
      </c>
      <c r="G786">
        <v>500</v>
      </c>
      <c r="H786">
        <v>500</v>
      </c>
      <c r="I786" t="s">
        <v>13</v>
      </c>
      <c r="J786" t="s">
        <v>27</v>
      </c>
    </row>
    <row r="787" spans="1:10" x14ac:dyDescent="0.25">
      <c r="A787" s="1">
        <v>44988</v>
      </c>
      <c r="B787" t="s">
        <v>818</v>
      </c>
      <c r="C787" t="s">
        <v>16</v>
      </c>
      <c r="D787">
        <v>31</v>
      </c>
      <c r="E787" t="s">
        <v>12</v>
      </c>
      <c r="F787">
        <v>4</v>
      </c>
      <c r="G787">
        <v>50</v>
      </c>
      <c r="H787">
        <v>200</v>
      </c>
      <c r="I787" t="s">
        <v>32</v>
      </c>
      <c r="J787" t="s">
        <v>14</v>
      </c>
    </row>
    <row r="788" spans="1:10" x14ac:dyDescent="0.25">
      <c r="A788" s="1">
        <v>45216</v>
      </c>
      <c r="B788" t="s">
        <v>819</v>
      </c>
      <c r="C788" t="s">
        <v>11</v>
      </c>
      <c r="D788">
        <v>48</v>
      </c>
      <c r="E788" t="s">
        <v>17</v>
      </c>
      <c r="F788">
        <v>4</v>
      </c>
      <c r="G788">
        <v>25</v>
      </c>
      <c r="H788">
        <v>100</v>
      </c>
      <c r="I788" t="s">
        <v>38</v>
      </c>
      <c r="J788" t="s">
        <v>30</v>
      </c>
    </row>
    <row r="789" spans="1:10" x14ac:dyDescent="0.25">
      <c r="A789" s="1">
        <v>44948</v>
      </c>
      <c r="B789" t="s">
        <v>820</v>
      </c>
      <c r="C789" t="s">
        <v>11</v>
      </c>
      <c r="D789">
        <v>41</v>
      </c>
      <c r="E789" t="s">
        <v>21</v>
      </c>
      <c r="F789">
        <v>1</v>
      </c>
      <c r="G789">
        <v>25</v>
      </c>
      <c r="H789">
        <v>25</v>
      </c>
      <c r="I789" t="s">
        <v>22</v>
      </c>
      <c r="J789" t="s">
        <v>25</v>
      </c>
    </row>
    <row r="790" spans="1:10" x14ac:dyDescent="0.25">
      <c r="A790" s="1">
        <v>45104</v>
      </c>
      <c r="B790" t="s">
        <v>821</v>
      </c>
      <c r="C790" t="s">
        <v>16</v>
      </c>
      <c r="D790">
        <v>52</v>
      </c>
      <c r="E790" t="s">
        <v>12</v>
      </c>
      <c r="F790">
        <v>3</v>
      </c>
      <c r="G790">
        <v>300</v>
      </c>
      <c r="H790">
        <v>900</v>
      </c>
      <c r="I790" t="s">
        <v>68</v>
      </c>
      <c r="J790" t="s">
        <v>30</v>
      </c>
    </row>
    <row r="791" spans="1:10" x14ac:dyDescent="0.25">
      <c r="A791" s="1">
        <v>45199</v>
      </c>
      <c r="B791" t="s">
        <v>822</v>
      </c>
      <c r="C791" t="s">
        <v>16</v>
      </c>
      <c r="D791">
        <v>61</v>
      </c>
      <c r="E791" t="s">
        <v>17</v>
      </c>
      <c r="F791">
        <v>4</v>
      </c>
      <c r="G791">
        <v>500</v>
      </c>
      <c r="H791">
        <v>2000</v>
      </c>
      <c r="I791" t="s">
        <v>49</v>
      </c>
      <c r="J791" t="s">
        <v>27</v>
      </c>
    </row>
    <row r="792" spans="1:10" x14ac:dyDescent="0.25">
      <c r="A792" s="1">
        <v>45146</v>
      </c>
      <c r="B792" t="s">
        <v>823</v>
      </c>
      <c r="C792" t="s">
        <v>11</v>
      </c>
      <c r="D792">
        <v>62</v>
      </c>
      <c r="E792" t="s">
        <v>17</v>
      </c>
      <c r="F792">
        <v>1</v>
      </c>
      <c r="G792">
        <v>25</v>
      </c>
      <c r="H792">
        <v>25</v>
      </c>
      <c r="I792" t="s">
        <v>42</v>
      </c>
      <c r="J792" t="s">
        <v>30</v>
      </c>
    </row>
    <row r="793" spans="1:10" x14ac:dyDescent="0.25">
      <c r="A793" s="1">
        <v>45265</v>
      </c>
      <c r="B793" t="s">
        <v>824</v>
      </c>
      <c r="C793" t="s">
        <v>16</v>
      </c>
      <c r="D793">
        <v>51</v>
      </c>
      <c r="E793" t="s">
        <v>12</v>
      </c>
      <c r="F793">
        <v>1</v>
      </c>
      <c r="G793">
        <v>25</v>
      </c>
      <c r="H793">
        <v>25</v>
      </c>
      <c r="I793" t="s">
        <v>36</v>
      </c>
      <c r="J793" t="s">
        <v>30</v>
      </c>
    </row>
    <row r="794" spans="1:10" x14ac:dyDescent="0.25">
      <c r="A794" s="1">
        <v>45116</v>
      </c>
      <c r="B794" t="s">
        <v>825</v>
      </c>
      <c r="C794" t="s">
        <v>16</v>
      </c>
      <c r="D794">
        <v>20</v>
      </c>
      <c r="E794" t="s">
        <v>12</v>
      </c>
      <c r="F794">
        <v>1</v>
      </c>
      <c r="G794">
        <v>50</v>
      </c>
      <c r="H794">
        <v>50</v>
      </c>
      <c r="I794" t="s">
        <v>76</v>
      </c>
      <c r="J794" t="s">
        <v>25</v>
      </c>
    </row>
    <row r="795" spans="1:10" x14ac:dyDescent="0.25">
      <c r="A795" s="1">
        <v>44962</v>
      </c>
      <c r="B795" t="s">
        <v>826</v>
      </c>
      <c r="C795" t="s">
        <v>11</v>
      </c>
      <c r="D795">
        <v>54</v>
      </c>
      <c r="E795" t="s">
        <v>12</v>
      </c>
      <c r="F795">
        <v>1</v>
      </c>
      <c r="G795">
        <v>30</v>
      </c>
      <c r="H795">
        <v>30</v>
      </c>
      <c r="I795" t="s">
        <v>18</v>
      </c>
      <c r="J795" t="s">
        <v>25</v>
      </c>
    </row>
    <row r="796" spans="1:10" x14ac:dyDescent="0.25">
      <c r="A796" s="1">
        <v>45186</v>
      </c>
      <c r="B796" t="s">
        <v>827</v>
      </c>
      <c r="C796" t="s">
        <v>16</v>
      </c>
      <c r="D796">
        <v>60</v>
      </c>
      <c r="E796" t="s">
        <v>12</v>
      </c>
      <c r="F796">
        <v>1</v>
      </c>
      <c r="G796">
        <v>300</v>
      </c>
      <c r="H796">
        <v>300</v>
      </c>
      <c r="I796" t="s">
        <v>49</v>
      </c>
      <c r="J796" t="s">
        <v>25</v>
      </c>
    </row>
    <row r="797" spans="1:10" x14ac:dyDescent="0.25">
      <c r="A797" s="1">
        <v>45258</v>
      </c>
      <c r="B797" t="s">
        <v>828</v>
      </c>
      <c r="C797" t="s">
        <v>11</v>
      </c>
      <c r="D797">
        <v>57</v>
      </c>
      <c r="E797" t="s">
        <v>21</v>
      </c>
      <c r="F797">
        <v>1</v>
      </c>
      <c r="G797">
        <v>300</v>
      </c>
      <c r="H797">
        <v>300</v>
      </c>
      <c r="I797" t="s">
        <v>13</v>
      </c>
      <c r="J797" t="s">
        <v>30</v>
      </c>
    </row>
    <row r="798" spans="1:10" x14ac:dyDescent="0.25">
      <c r="A798" s="1">
        <v>45101</v>
      </c>
      <c r="B798" t="s">
        <v>829</v>
      </c>
      <c r="C798" t="s">
        <v>11</v>
      </c>
      <c r="D798">
        <v>43</v>
      </c>
      <c r="E798" t="s">
        <v>12</v>
      </c>
      <c r="F798">
        <v>4</v>
      </c>
      <c r="G798">
        <v>30</v>
      </c>
      <c r="H798">
        <v>120</v>
      </c>
      <c r="I798" t="s">
        <v>68</v>
      </c>
      <c r="J798" t="s">
        <v>27</v>
      </c>
    </row>
    <row r="799" spans="1:10" x14ac:dyDescent="0.25">
      <c r="A799" s="1">
        <v>44933</v>
      </c>
      <c r="B799" t="s">
        <v>830</v>
      </c>
      <c r="C799" t="s">
        <v>11</v>
      </c>
      <c r="D799">
        <v>40</v>
      </c>
      <c r="E799" t="s">
        <v>17</v>
      </c>
      <c r="F799">
        <v>3</v>
      </c>
      <c r="G799">
        <v>25</v>
      </c>
      <c r="H799">
        <v>75</v>
      </c>
      <c r="I799" t="s">
        <v>22</v>
      </c>
      <c r="J799" t="s">
        <v>27</v>
      </c>
    </row>
    <row r="800" spans="1:10" x14ac:dyDescent="0.25">
      <c r="A800" s="1">
        <v>45142</v>
      </c>
      <c r="B800" t="s">
        <v>831</v>
      </c>
      <c r="C800" t="s">
        <v>11</v>
      </c>
      <c r="D800">
        <v>61</v>
      </c>
      <c r="E800" t="s">
        <v>17</v>
      </c>
      <c r="F800">
        <v>1</v>
      </c>
      <c r="G800">
        <v>50</v>
      </c>
      <c r="H800">
        <v>50</v>
      </c>
      <c r="I800" t="s">
        <v>42</v>
      </c>
      <c r="J800" t="s">
        <v>14</v>
      </c>
    </row>
    <row r="801" spans="1:10" x14ac:dyDescent="0.25">
      <c r="A801" s="1">
        <v>45177</v>
      </c>
      <c r="B801" t="s">
        <v>832</v>
      </c>
      <c r="C801" t="s">
        <v>11</v>
      </c>
      <c r="D801">
        <v>56</v>
      </c>
      <c r="E801" t="s">
        <v>21</v>
      </c>
      <c r="F801">
        <v>2</v>
      </c>
      <c r="G801">
        <v>50</v>
      </c>
      <c r="H801">
        <v>100</v>
      </c>
      <c r="I801" t="s">
        <v>49</v>
      </c>
      <c r="J801" t="s">
        <v>14</v>
      </c>
    </row>
    <row r="802" spans="1:10" x14ac:dyDescent="0.25">
      <c r="A802" s="1">
        <v>44981</v>
      </c>
      <c r="B802" t="s">
        <v>833</v>
      </c>
      <c r="C802" t="s">
        <v>11</v>
      </c>
      <c r="D802">
        <v>32</v>
      </c>
      <c r="E802" t="s">
        <v>17</v>
      </c>
      <c r="F802">
        <v>4</v>
      </c>
      <c r="G802">
        <v>300</v>
      </c>
      <c r="H802">
        <v>1200</v>
      </c>
      <c r="I802" t="s">
        <v>18</v>
      </c>
      <c r="J802" t="s">
        <v>14</v>
      </c>
    </row>
    <row r="803" spans="1:10" x14ac:dyDescent="0.25">
      <c r="A803" s="1">
        <v>45148</v>
      </c>
      <c r="B803" t="s">
        <v>834</v>
      </c>
      <c r="C803" t="s">
        <v>11</v>
      </c>
      <c r="D803">
        <v>21</v>
      </c>
      <c r="E803" t="s">
        <v>17</v>
      </c>
      <c r="F803">
        <v>4</v>
      </c>
      <c r="G803">
        <v>50</v>
      </c>
      <c r="H803">
        <v>200</v>
      </c>
      <c r="I803" t="s">
        <v>42</v>
      </c>
      <c r="J803" t="s">
        <v>58</v>
      </c>
    </row>
    <row r="804" spans="1:10" x14ac:dyDescent="0.25">
      <c r="A804" s="1">
        <v>45112</v>
      </c>
      <c r="B804" t="s">
        <v>835</v>
      </c>
      <c r="C804" t="s">
        <v>16</v>
      </c>
      <c r="D804">
        <v>46</v>
      </c>
      <c r="E804" t="s">
        <v>12</v>
      </c>
      <c r="F804">
        <v>1</v>
      </c>
      <c r="G804">
        <v>30</v>
      </c>
      <c r="H804">
        <v>30</v>
      </c>
      <c r="I804" t="s">
        <v>76</v>
      </c>
      <c r="J804" t="s">
        <v>34</v>
      </c>
    </row>
    <row r="805" spans="1:10" x14ac:dyDescent="0.25">
      <c r="A805" s="1">
        <v>45252</v>
      </c>
      <c r="B805" t="s">
        <v>836</v>
      </c>
      <c r="C805" t="s">
        <v>11</v>
      </c>
      <c r="D805">
        <v>39</v>
      </c>
      <c r="E805" t="s">
        <v>17</v>
      </c>
      <c r="F805">
        <v>4</v>
      </c>
      <c r="G805">
        <v>25</v>
      </c>
      <c r="H805">
        <v>100</v>
      </c>
      <c r="I805" t="s">
        <v>13</v>
      </c>
      <c r="J805" t="s">
        <v>34</v>
      </c>
    </row>
    <row r="806" spans="1:10" x14ac:dyDescent="0.25">
      <c r="A806" s="1">
        <v>45162</v>
      </c>
      <c r="B806" t="s">
        <v>837</v>
      </c>
      <c r="C806" t="s">
        <v>11</v>
      </c>
      <c r="D806">
        <v>42</v>
      </c>
      <c r="E806" t="s">
        <v>21</v>
      </c>
      <c r="F806">
        <v>1</v>
      </c>
      <c r="G806">
        <v>30</v>
      </c>
      <c r="H806">
        <v>30</v>
      </c>
      <c r="I806" t="s">
        <v>42</v>
      </c>
      <c r="J806" t="s">
        <v>58</v>
      </c>
    </row>
    <row r="807" spans="1:10" x14ac:dyDescent="0.25">
      <c r="A807" s="1">
        <v>45289</v>
      </c>
      <c r="B807" t="s">
        <v>838</v>
      </c>
      <c r="C807" t="s">
        <v>16</v>
      </c>
      <c r="D807">
        <v>30</v>
      </c>
      <c r="E807" t="s">
        <v>12</v>
      </c>
      <c r="F807">
        <v>3</v>
      </c>
      <c r="G807">
        <v>500</v>
      </c>
      <c r="H807">
        <v>1500</v>
      </c>
      <c r="I807" t="s">
        <v>36</v>
      </c>
      <c r="J807" t="s">
        <v>14</v>
      </c>
    </row>
    <row r="808" spans="1:10" x14ac:dyDescent="0.25">
      <c r="A808" s="1">
        <v>45005</v>
      </c>
      <c r="B808" t="s">
        <v>839</v>
      </c>
      <c r="C808" t="s">
        <v>16</v>
      </c>
      <c r="D808">
        <v>35</v>
      </c>
      <c r="E808" t="s">
        <v>12</v>
      </c>
      <c r="F808">
        <v>3</v>
      </c>
      <c r="G808">
        <v>300</v>
      </c>
      <c r="H808">
        <v>900</v>
      </c>
      <c r="I808" t="s">
        <v>32</v>
      </c>
      <c r="J808" t="s">
        <v>19</v>
      </c>
    </row>
    <row r="809" spans="1:10" x14ac:dyDescent="0.25">
      <c r="A809" s="1">
        <v>45149</v>
      </c>
      <c r="B809" t="s">
        <v>840</v>
      </c>
      <c r="C809" t="s">
        <v>16</v>
      </c>
      <c r="D809">
        <v>50</v>
      </c>
      <c r="E809" t="s">
        <v>21</v>
      </c>
      <c r="F809">
        <v>4</v>
      </c>
      <c r="G809">
        <v>50</v>
      </c>
      <c r="H809">
        <v>200</v>
      </c>
      <c r="I809" t="s">
        <v>42</v>
      </c>
      <c r="J809" t="s">
        <v>14</v>
      </c>
    </row>
    <row r="810" spans="1:10" x14ac:dyDescent="0.25">
      <c r="A810" s="1">
        <v>45017</v>
      </c>
      <c r="B810" t="s">
        <v>841</v>
      </c>
      <c r="C810" t="s">
        <v>11</v>
      </c>
      <c r="D810">
        <v>33</v>
      </c>
      <c r="E810" t="s">
        <v>12</v>
      </c>
      <c r="F810">
        <v>4</v>
      </c>
      <c r="G810">
        <v>500</v>
      </c>
      <c r="H810">
        <v>2000</v>
      </c>
      <c r="I810" t="s">
        <v>29</v>
      </c>
      <c r="J810" t="s">
        <v>27</v>
      </c>
    </row>
    <row r="811" spans="1:10" x14ac:dyDescent="0.25">
      <c r="A811" s="1">
        <v>45194</v>
      </c>
      <c r="B811" t="s">
        <v>842</v>
      </c>
      <c r="C811" t="s">
        <v>16</v>
      </c>
      <c r="D811">
        <v>62</v>
      </c>
      <c r="E811" t="s">
        <v>12</v>
      </c>
      <c r="F811">
        <v>2</v>
      </c>
      <c r="G811">
        <v>50</v>
      </c>
      <c r="H811">
        <v>100</v>
      </c>
      <c r="I811" t="s">
        <v>49</v>
      </c>
      <c r="J811" t="s">
        <v>19</v>
      </c>
    </row>
    <row r="812" spans="1:10" x14ac:dyDescent="0.25">
      <c r="A812" s="1">
        <v>45260</v>
      </c>
      <c r="B812" t="s">
        <v>843</v>
      </c>
      <c r="C812" t="s">
        <v>11</v>
      </c>
      <c r="D812">
        <v>59</v>
      </c>
      <c r="E812" t="s">
        <v>21</v>
      </c>
      <c r="F812">
        <v>4</v>
      </c>
      <c r="G812">
        <v>25</v>
      </c>
      <c r="H812">
        <v>100</v>
      </c>
      <c r="I812" t="s">
        <v>13</v>
      </c>
      <c r="J812" t="s">
        <v>58</v>
      </c>
    </row>
    <row r="813" spans="1:10" x14ac:dyDescent="0.25">
      <c r="A813" s="1">
        <v>45065</v>
      </c>
      <c r="B813" t="s">
        <v>844</v>
      </c>
      <c r="C813" t="s">
        <v>11</v>
      </c>
      <c r="D813">
        <v>61</v>
      </c>
      <c r="E813" t="s">
        <v>12</v>
      </c>
      <c r="F813">
        <v>2</v>
      </c>
      <c r="G813">
        <v>25</v>
      </c>
      <c r="H813">
        <v>50</v>
      </c>
      <c r="I813" t="s">
        <v>24</v>
      </c>
      <c r="J813" t="s">
        <v>14</v>
      </c>
    </row>
    <row r="814" spans="1:10" x14ac:dyDescent="0.25">
      <c r="A814" s="1">
        <v>45242</v>
      </c>
      <c r="B814" t="s">
        <v>845</v>
      </c>
      <c r="C814" t="s">
        <v>11</v>
      </c>
      <c r="D814">
        <v>19</v>
      </c>
      <c r="E814" t="s">
        <v>21</v>
      </c>
      <c r="F814">
        <v>3</v>
      </c>
      <c r="G814">
        <v>25</v>
      </c>
      <c r="H814">
        <v>75</v>
      </c>
      <c r="I814" t="s">
        <v>13</v>
      </c>
      <c r="J814" t="s">
        <v>25</v>
      </c>
    </row>
    <row r="815" spans="1:10" x14ac:dyDescent="0.25">
      <c r="A815" s="1">
        <v>45202</v>
      </c>
      <c r="B815" t="s">
        <v>846</v>
      </c>
      <c r="C815" t="s">
        <v>11</v>
      </c>
      <c r="D815">
        <v>52</v>
      </c>
      <c r="E815" t="s">
        <v>21</v>
      </c>
      <c r="F815">
        <v>3</v>
      </c>
      <c r="G815">
        <v>50</v>
      </c>
      <c r="H815">
        <v>150</v>
      </c>
      <c r="I815" t="s">
        <v>38</v>
      </c>
      <c r="J815" t="s">
        <v>30</v>
      </c>
    </row>
    <row r="816" spans="1:10" x14ac:dyDescent="0.25">
      <c r="A816" s="1">
        <v>45174</v>
      </c>
      <c r="B816" t="s">
        <v>847</v>
      </c>
      <c r="C816" t="s">
        <v>16</v>
      </c>
      <c r="D816">
        <v>59</v>
      </c>
      <c r="E816" t="s">
        <v>17</v>
      </c>
      <c r="F816">
        <v>1</v>
      </c>
      <c r="G816">
        <v>500</v>
      </c>
      <c r="H816">
        <v>500</v>
      </c>
      <c r="I816" t="s">
        <v>49</v>
      </c>
      <c r="J816" t="s">
        <v>30</v>
      </c>
    </row>
    <row r="817" spans="1:10" x14ac:dyDescent="0.25">
      <c r="A817" s="1">
        <v>45165</v>
      </c>
      <c r="B817" t="s">
        <v>848</v>
      </c>
      <c r="C817" t="s">
        <v>16</v>
      </c>
      <c r="D817">
        <v>51</v>
      </c>
      <c r="E817" t="s">
        <v>17</v>
      </c>
      <c r="F817">
        <v>3</v>
      </c>
      <c r="G817">
        <v>25</v>
      </c>
      <c r="H817">
        <v>75</v>
      </c>
      <c r="I817" t="s">
        <v>42</v>
      </c>
      <c r="J817" t="s">
        <v>25</v>
      </c>
    </row>
    <row r="818" spans="1:10" x14ac:dyDescent="0.25">
      <c r="A818" s="1">
        <v>45150</v>
      </c>
      <c r="B818" t="s">
        <v>849</v>
      </c>
      <c r="C818" t="s">
        <v>11</v>
      </c>
      <c r="D818">
        <v>47</v>
      </c>
      <c r="E818" t="s">
        <v>12</v>
      </c>
      <c r="F818">
        <v>2</v>
      </c>
      <c r="G818">
        <v>500</v>
      </c>
      <c r="H818">
        <v>1000</v>
      </c>
      <c r="I818" t="s">
        <v>42</v>
      </c>
      <c r="J818" t="s">
        <v>27</v>
      </c>
    </row>
    <row r="819" spans="1:10" x14ac:dyDescent="0.25">
      <c r="A819" s="1">
        <v>45230</v>
      </c>
      <c r="B819" t="s">
        <v>850</v>
      </c>
      <c r="C819" t="s">
        <v>11</v>
      </c>
      <c r="D819">
        <v>30</v>
      </c>
      <c r="E819" t="s">
        <v>12</v>
      </c>
      <c r="F819">
        <v>4</v>
      </c>
      <c r="G819">
        <v>50</v>
      </c>
      <c r="H819">
        <v>200</v>
      </c>
      <c r="I819" t="s">
        <v>38</v>
      </c>
      <c r="J819" t="s">
        <v>30</v>
      </c>
    </row>
    <row r="820" spans="1:10" x14ac:dyDescent="0.25">
      <c r="A820" s="1">
        <v>45064</v>
      </c>
      <c r="B820" t="s">
        <v>851</v>
      </c>
      <c r="C820" t="s">
        <v>11</v>
      </c>
      <c r="D820">
        <v>30</v>
      </c>
      <c r="E820" t="s">
        <v>21</v>
      </c>
      <c r="F820">
        <v>1</v>
      </c>
      <c r="G820">
        <v>500</v>
      </c>
      <c r="H820">
        <v>500</v>
      </c>
      <c r="I820" t="s">
        <v>24</v>
      </c>
      <c r="J820" t="s">
        <v>58</v>
      </c>
    </row>
    <row r="821" spans="1:10" x14ac:dyDescent="0.25">
      <c r="A821" s="1">
        <v>45092</v>
      </c>
      <c r="B821" t="s">
        <v>852</v>
      </c>
      <c r="C821" t="s">
        <v>16</v>
      </c>
      <c r="D821">
        <v>35</v>
      </c>
      <c r="E821" t="s">
        <v>12</v>
      </c>
      <c r="F821">
        <v>2</v>
      </c>
      <c r="G821">
        <v>50</v>
      </c>
      <c r="H821">
        <v>100</v>
      </c>
      <c r="I821" t="s">
        <v>68</v>
      </c>
      <c r="J821" t="s">
        <v>58</v>
      </c>
    </row>
    <row r="822" spans="1:10" x14ac:dyDescent="0.25">
      <c r="A822" s="1">
        <v>45052</v>
      </c>
      <c r="B822" t="s">
        <v>853</v>
      </c>
      <c r="C822" t="s">
        <v>11</v>
      </c>
      <c r="D822">
        <v>49</v>
      </c>
      <c r="E822" t="s">
        <v>21</v>
      </c>
      <c r="F822">
        <v>4</v>
      </c>
      <c r="G822">
        <v>50</v>
      </c>
      <c r="H822">
        <v>200</v>
      </c>
      <c r="I822" t="s">
        <v>24</v>
      </c>
      <c r="J822" t="s">
        <v>27</v>
      </c>
    </row>
    <row r="823" spans="1:10" x14ac:dyDescent="0.25">
      <c r="A823" s="1">
        <v>44971</v>
      </c>
      <c r="B823" t="s">
        <v>854</v>
      </c>
      <c r="C823" t="s">
        <v>11</v>
      </c>
      <c r="D823">
        <v>49</v>
      </c>
      <c r="E823" t="s">
        <v>21</v>
      </c>
      <c r="F823">
        <v>1</v>
      </c>
      <c r="G823">
        <v>300</v>
      </c>
      <c r="H823">
        <v>300</v>
      </c>
      <c r="I823" t="s">
        <v>18</v>
      </c>
      <c r="J823" t="s">
        <v>30</v>
      </c>
    </row>
    <row r="824" spans="1:10" x14ac:dyDescent="0.25">
      <c r="A824" s="1">
        <v>45069</v>
      </c>
      <c r="B824" t="s">
        <v>855</v>
      </c>
      <c r="C824" t="s">
        <v>16</v>
      </c>
      <c r="D824">
        <v>52</v>
      </c>
      <c r="E824" t="s">
        <v>12</v>
      </c>
      <c r="F824">
        <v>3</v>
      </c>
      <c r="G824">
        <v>50</v>
      </c>
      <c r="H824">
        <v>150</v>
      </c>
      <c r="I824" t="s">
        <v>24</v>
      </c>
      <c r="J824" t="s">
        <v>30</v>
      </c>
    </row>
    <row r="825" spans="1:10" x14ac:dyDescent="0.25">
      <c r="A825" s="1">
        <v>45157</v>
      </c>
      <c r="B825" t="s">
        <v>856</v>
      </c>
      <c r="C825" t="s">
        <v>16</v>
      </c>
      <c r="D825">
        <v>56</v>
      </c>
      <c r="E825" t="s">
        <v>21</v>
      </c>
      <c r="F825">
        <v>2</v>
      </c>
      <c r="G825">
        <v>50</v>
      </c>
      <c r="H825">
        <v>100</v>
      </c>
      <c r="I825" t="s">
        <v>42</v>
      </c>
      <c r="J825" t="s">
        <v>27</v>
      </c>
    </row>
    <row r="826" spans="1:10" x14ac:dyDescent="0.25">
      <c r="A826" s="1">
        <v>45051</v>
      </c>
      <c r="B826" t="s">
        <v>857</v>
      </c>
      <c r="C826" t="s">
        <v>11</v>
      </c>
      <c r="D826">
        <v>63</v>
      </c>
      <c r="E826" t="s">
        <v>17</v>
      </c>
      <c r="F826">
        <v>4</v>
      </c>
      <c r="G826">
        <v>30</v>
      </c>
      <c r="H826">
        <v>120</v>
      </c>
      <c r="I826" t="s">
        <v>24</v>
      </c>
      <c r="J826" t="s">
        <v>14</v>
      </c>
    </row>
    <row r="827" spans="1:10" x14ac:dyDescent="0.25">
      <c r="A827" s="1">
        <v>45164</v>
      </c>
      <c r="B827" t="s">
        <v>858</v>
      </c>
      <c r="C827" t="s">
        <v>16</v>
      </c>
      <c r="D827">
        <v>46</v>
      </c>
      <c r="E827" t="s">
        <v>12</v>
      </c>
      <c r="F827">
        <v>1</v>
      </c>
      <c r="G827">
        <v>25</v>
      </c>
      <c r="H827">
        <v>25</v>
      </c>
      <c r="I827" t="s">
        <v>42</v>
      </c>
      <c r="J827" t="s">
        <v>27</v>
      </c>
    </row>
    <row r="828" spans="1:10" x14ac:dyDescent="0.25">
      <c r="A828" s="1">
        <v>45218</v>
      </c>
      <c r="B828" t="s">
        <v>859</v>
      </c>
      <c r="C828" t="s">
        <v>16</v>
      </c>
      <c r="D828">
        <v>46</v>
      </c>
      <c r="E828" t="s">
        <v>17</v>
      </c>
      <c r="F828">
        <v>1</v>
      </c>
      <c r="G828">
        <v>300</v>
      </c>
      <c r="H828">
        <v>300</v>
      </c>
      <c r="I828" t="s">
        <v>38</v>
      </c>
      <c r="J828" t="s">
        <v>58</v>
      </c>
    </row>
    <row r="829" spans="1:10" x14ac:dyDescent="0.25">
      <c r="A829" s="1">
        <v>45239</v>
      </c>
      <c r="B829" t="s">
        <v>860</v>
      </c>
      <c r="C829" t="s">
        <v>11</v>
      </c>
      <c r="D829">
        <v>61</v>
      </c>
      <c r="E829" t="s">
        <v>12</v>
      </c>
      <c r="F829">
        <v>3</v>
      </c>
      <c r="G829">
        <v>300</v>
      </c>
      <c r="H829">
        <v>900</v>
      </c>
      <c r="I829" t="s">
        <v>13</v>
      </c>
      <c r="J829" t="s">
        <v>58</v>
      </c>
    </row>
    <row r="830" spans="1:10" x14ac:dyDescent="0.25">
      <c r="A830" s="1">
        <v>45269</v>
      </c>
      <c r="B830" t="s">
        <v>861</v>
      </c>
      <c r="C830" t="s">
        <v>16</v>
      </c>
      <c r="D830">
        <v>33</v>
      </c>
      <c r="E830" t="s">
        <v>21</v>
      </c>
      <c r="F830">
        <v>4</v>
      </c>
      <c r="G830">
        <v>300</v>
      </c>
      <c r="H830">
        <v>1200</v>
      </c>
      <c r="I830" t="s">
        <v>36</v>
      </c>
      <c r="J830" t="s">
        <v>27</v>
      </c>
    </row>
    <row r="831" spans="1:10" x14ac:dyDescent="0.25">
      <c r="A831" s="1">
        <v>45121</v>
      </c>
      <c r="B831" t="s">
        <v>862</v>
      </c>
      <c r="C831" t="s">
        <v>11</v>
      </c>
      <c r="D831">
        <v>61</v>
      </c>
      <c r="E831" t="s">
        <v>12</v>
      </c>
      <c r="F831">
        <v>3</v>
      </c>
      <c r="G831">
        <v>30</v>
      </c>
      <c r="H831">
        <v>90</v>
      </c>
      <c r="I831" t="s">
        <v>76</v>
      </c>
      <c r="J831" t="s">
        <v>14</v>
      </c>
    </row>
    <row r="832" spans="1:10" x14ac:dyDescent="0.25">
      <c r="A832" s="1">
        <v>45099</v>
      </c>
      <c r="B832" t="s">
        <v>863</v>
      </c>
      <c r="C832" t="s">
        <v>16</v>
      </c>
      <c r="D832">
        <v>64</v>
      </c>
      <c r="E832" t="s">
        <v>17</v>
      </c>
      <c r="F832">
        <v>3</v>
      </c>
      <c r="G832">
        <v>50</v>
      </c>
      <c r="H832">
        <v>150</v>
      </c>
      <c r="I832" t="s">
        <v>68</v>
      </c>
      <c r="J832" t="s">
        <v>58</v>
      </c>
    </row>
    <row r="833" spans="1:10" x14ac:dyDescent="0.25">
      <c r="A833" s="1">
        <v>44941</v>
      </c>
      <c r="B833" t="s">
        <v>864</v>
      </c>
      <c r="C833" t="s">
        <v>11</v>
      </c>
      <c r="D833">
        <v>27</v>
      </c>
      <c r="E833" t="s">
        <v>21</v>
      </c>
      <c r="F833">
        <v>4</v>
      </c>
      <c r="G833">
        <v>25</v>
      </c>
      <c r="H833">
        <v>100</v>
      </c>
      <c r="I833" t="s">
        <v>22</v>
      </c>
      <c r="J833" t="s">
        <v>25</v>
      </c>
    </row>
    <row r="834" spans="1:10" x14ac:dyDescent="0.25">
      <c r="A834" s="1">
        <v>45180</v>
      </c>
      <c r="B834" t="s">
        <v>865</v>
      </c>
      <c r="C834" t="s">
        <v>11</v>
      </c>
      <c r="D834">
        <v>47</v>
      </c>
      <c r="E834" t="s">
        <v>12</v>
      </c>
      <c r="F834">
        <v>4</v>
      </c>
      <c r="G834">
        <v>500</v>
      </c>
      <c r="H834">
        <v>2000</v>
      </c>
      <c r="I834" t="s">
        <v>49</v>
      </c>
      <c r="J834" t="s">
        <v>19</v>
      </c>
    </row>
    <row r="835" spans="1:10" x14ac:dyDescent="0.25">
      <c r="A835" s="1">
        <v>45093</v>
      </c>
      <c r="B835" t="s">
        <v>866</v>
      </c>
      <c r="C835" t="s">
        <v>11</v>
      </c>
      <c r="D835">
        <v>42</v>
      </c>
      <c r="E835" t="s">
        <v>12</v>
      </c>
      <c r="F835">
        <v>4</v>
      </c>
      <c r="G835">
        <v>50</v>
      </c>
      <c r="H835">
        <v>200</v>
      </c>
      <c r="I835" t="s">
        <v>68</v>
      </c>
      <c r="J835" t="s">
        <v>14</v>
      </c>
    </row>
    <row r="836" spans="1:10" x14ac:dyDescent="0.25">
      <c r="A836" s="1">
        <v>45020</v>
      </c>
      <c r="B836" t="s">
        <v>867</v>
      </c>
      <c r="C836" t="s">
        <v>16</v>
      </c>
      <c r="D836">
        <v>56</v>
      </c>
      <c r="E836" t="s">
        <v>12</v>
      </c>
      <c r="F836">
        <v>2</v>
      </c>
      <c r="G836">
        <v>30</v>
      </c>
      <c r="H836">
        <v>60</v>
      </c>
      <c r="I836" t="s">
        <v>29</v>
      </c>
      <c r="J836" t="s">
        <v>30</v>
      </c>
    </row>
    <row r="837" spans="1:10" x14ac:dyDescent="0.25">
      <c r="A837" s="1">
        <v>45176</v>
      </c>
      <c r="B837" t="s">
        <v>868</v>
      </c>
      <c r="C837" t="s">
        <v>11</v>
      </c>
      <c r="D837">
        <v>37</v>
      </c>
      <c r="E837" t="s">
        <v>17</v>
      </c>
      <c r="F837">
        <v>4</v>
      </c>
      <c r="G837">
        <v>50</v>
      </c>
      <c r="H837">
        <v>200</v>
      </c>
      <c r="I837" t="s">
        <v>49</v>
      </c>
      <c r="J837" t="s">
        <v>58</v>
      </c>
    </row>
    <row r="838" spans="1:10" x14ac:dyDescent="0.25">
      <c r="A838" s="1">
        <v>45035</v>
      </c>
      <c r="B838" t="s">
        <v>869</v>
      </c>
      <c r="C838" t="s">
        <v>16</v>
      </c>
      <c r="D838">
        <v>22</v>
      </c>
      <c r="E838" t="s">
        <v>17</v>
      </c>
      <c r="F838">
        <v>1</v>
      </c>
      <c r="G838">
        <v>50</v>
      </c>
      <c r="H838">
        <v>50</v>
      </c>
      <c r="I838" t="s">
        <v>29</v>
      </c>
      <c r="J838" t="s">
        <v>34</v>
      </c>
    </row>
    <row r="839" spans="1:10" x14ac:dyDescent="0.25">
      <c r="A839" s="1">
        <v>45108</v>
      </c>
      <c r="B839" t="s">
        <v>870</v>
      </c>
      <c r="C839" t="s">
        <v>11</v>
      </c>
      <c r="D839">
        <v>18</v>
      </c>
      <c r="E839" t="s">
        <v>12</v>
      </c>
      <c r="F839">
        <v>3</v>
      </c>
      <c r="G839">
        <v>30</v>
      </c>
      <c r="H839">
        <v>90</v>
      </c>
      <c r="I839" t="s">
        <v>76</v>
      </c>
      <c r="J839" t="s">
        <v>27</v>
      </c>
    </row>
    <row r="840" spans="1:10" x14ac:dyDescent="0.25">
      <c r="A840" s="1">
        <v>45059</v>
      </c>
      <c r="B840" t="s">
        <v>871</v>
      </c>
      <c r="C840" t="s">
        <v>11</v>
      </c>
      <c r="D840">
        <v>47</v>
      </c>
      <c r="E840" t="s">
        <v>21</v>
      </c>
      <c r="F840">
        <v>2</v>
      </c>
      <c r="G840">
        <v>300</v>
      </c>
      <c r="H840">
        <v>600</v>
      </c>
      <c r="I840" t="s">
        <v>24</v>
      </c>
      <c r="J840" t="s">
        <v>27</v>
      </c>
    </row>
    <row r="841" spans="1:10" x14ac:dyDescent="0.25">
      <c r="A841" s="1">
        <v>45101</v>
      </c>
      <c r="B841" t="s">
        <v>872</v>
      </c>
      <c r="C841" t="s">
        <v>16</v>
      </c>
      <c r="D841">
        <v>20</v>
      </c>
      <c r="E841" t="s">
        <v>21</v>
      </c>
      <c r="F841">
        <v>4</v>
      </c>
      <c r="G841">
        <v>300</v>
      </c>
      <c r="H841">
        <v>1200</v>
      </c>
      <c r="I841" t="s">
        <v>68</v>
      </c>
      <c r="J841" t="s">
        <v>27</v>
      </c>
    </row>
    <row r="842" spans="1:10" x14ac:dyDescent="0.25">
      <c r="A842" s="1">
        <v>45070</v>
      </c>
      <c r="B842" t="s">
        <v>873</v>
      </c>
      <c r="C842" t="s">
        <v>11</v>
      </c>
      <c r="D842">
        <v>62</v>
      </c>
      <c r="E842" t="s">
        <v>17</v>
      </c>
      <c r="F842">
        <v>2</v>
      </c>
      <c r="G842">
        <v>25</v>
      </c>
      <c r="H842">
        <v>50</v>
      </c>
      <c r="I842" t="s">
        <v>24</v>
      </c>
      <c r="J842" t="s">
        <v>34</v>
      </c>
    </row>
    <row r="843" spans="1:10" x14ac:dyDescent="0.25">
      <c r="A843" s="1">
        <v>45232</v>
      </c>
      <c r="B843" t="s">
        <v>874</v>
      </c>
      <c r="C843" t="s">
        <v>11</v>
      </c>
      <c r="D843">
        <v>31</v>
      </c>
      <c r="E843" t="s">
        <v>21</v>
      </c>
      <c r="F843">
        <v>4</v>
      </c>
      <c r="G843">
        <v>25</v>
      </c>
      <c r="H843">
        <v>100</v>
      </c>
      <c r="I843" t="s">
        <v>13</v>
      </c>
      <c r="J843" t="s">
        <v>58</v>
      </c>
    </row>
    <row r="844" spans="1:10" x14ac:dyDescent="0.25">
      <c r="A844" s="1">
        <v>45286</v>
      </c>
      <c r="B844" t="s">
        <v>875</v>
      </c>
      <c r="C844" t="s">
        <v>16</v>
      </c>
      <c r="D844">
        <v>47</v>
      </c>
      <c r="E844" t="s">
        <v>17</v>
      </c>
      <c r="F844">
        <v>2</v>
      </c>
      <c r="G844">
        <v>300</v>
      </c>
      <c r="H844">
        <v>600</v>
      </c>
      <c r="I844" t="s">
        <v>36</v>
      </c>
      <c r="J844" t="s">
        <v>30</v>
      </c>
    </row>
    <row r="845" spans="1:10" x14ac:dyDescent="0.25">
      <c r="A845" s="1">
        <v>45068</v>
      </c>
      <c r="B845" t="s">
        <v>876</v>
      </c>
      <c r="C845" t="s">
        <v>11</v>
      </c>
      <c r="D845">
        <v>21</v>
      </c>
      <c r="E845" t="s">
        <v>12</v>
      </c>
      <c r="F845">
        <v>3</v>
      </c>
      <c r="G845">
        <v>500</v>
      </c>
      <c r="H845">
        <v>1500</v>
      </c>
      <c r="I845" t="s">
        <v>24</v>
      </c>
      <c r="J845" t="s">
        <v>19</v>
      </c>
    </row>
    <row r="846" spans="1:10" x14ac:dyDescent="0.25">
      <c r="A846" s="1">
        <v>45211</v>
      </c>
      <c r="B846" t="s">
        <v>877</v>
      </c>
      <c r="C846" t="s">
        <v>11</v>
      </c>
      <c r="D846">
        <v>35</v>
      </c>
      <c r="E846" t="s">
        <v>17</v>
      </c>
      <c r="F846">
        <v>3</v>
      </c>
      <c r="G846">
        <v>50</v>
      </c>
      <c r="H846">
        <v>150</v>
      </c>
      <c r="I846" t="s">
        <v>38</v>
      </c>
      <c r="J846" t="s">
        <v>58</v>
      </c>
    </row>
    <row r="847" spans="1:10" x14ac:dyDescent="0.25">
      <c r="A847" s="1">
        <v>44932</v>
      </c>
      <c r="B847" t="s">
        <v>878</v>
      </c>
      <c r="C847" t="s">
        <v>11</v>
      </c>
      <c r="D847">
        <v>54</v>
      </c>
      <c r="E847" t="s">
        <v>17</v>
      </c>
      <c r="F847">
        <v>1</v>
      </c>
      <c r="G847">
        <v>500</v>
      </c>
      <c r="H847">
        <v>500</v>
      </c>
      <c r="I847" t="s">
        <v>22</v>
      </c>
      <c r="J847" t="s">
        <v>14</v>
      </c>
    </row>
    <row r="848" spans="1:10" x14ac:dyDescent="0.25">
      <c r="A848" s="1">
        <v>45191</v>
      </c>
      <c r="B848" t="s">
        <v>879</v>
      </c>
      <c r="C848" t="s">
        <v>11</v>
      </c>
      <c r="D848">
        <v>42</v>
      </c>
      <c r="E848" t="s">
        <v>12</v>
      </c>
      <c r="F848">
        <v>1</v>
      </c>
      <c r="G848">
        <v>50</v>
      </c>
      <c r="H848">
        <v>50</v>
      </c>
      <c r="I848" t="s">
        <v>49</v>
      </c>
      <c r="J848" t="s">
        <v>14</v>
      </c>
    </row>
    <row r="849" spans="1:10" x14ac:dyDescent="0.25">
      <c r="A849" s="1">
        <v>45024</v>
      </c>
      <c r="B849" t="s">
        <v>880</v>
      </c>
      <c r="C849" t="s">
        <v>16</v>
      </c>
      <c r="D849">
        <v>18</v>
      </c>
      <c r="E849" t="s">
        <v>21</v>
      </c>
      <c r="F849">
        <v>4</v>
      </c>
      <c r="G849">
        <v>300</v>
      </c>
      <c r="H849">
        <v>1200</v>
      </c>
      <c r="I849" t="s">
        <v>29</v>
      </c>
      <c r="J849" t="s">
        <v>27</v>
      </c>
    </row>
    <row r="850" spans="1:10" x14ac:dyDescent="0.25">
      <c r="A850" s="1">
        <v>44970</v>
      </c>
      <c r="B850" t="s">
        <v>881</v>
      </c>
      <c r="C850" t="s">
        <v>16</v>
      </c>
      <c r="D850">
        <v>63</v>
      </c>
      <c r="E850" t="s">
        <v>17</v>
      </c>
      <c r="F850">
        <v>3</v>
      </c>
      <c r="G850">
        <v>25</v>
      </c>
      <c r="H850">
        <v>75</v>
      </c>
      <c r="I850" t="s">
        <v>18</v>
      </c>
      <c r="J850" t="s">
        <v>19</v>
      </c>
    </row>
    <row r="851" spans="1:10" x14ac:dyDescent="0.25">
      <c r="A851" s="1">
        <v>45050</v>
      </c>
      <c r="B851" t="s">
        <v>882</v>
      </c>
      <c r="C851" t="s">
        <v>11</v>
      </c>
      <c r="D851">
        <v>32</v>
      </c>
      <c r="E851" t="s">
        <v>17</v>
      </c>
      <c r="F851">
        <v>2</v>
      </c>
      <c r="G851">
        <v>25</v>
      </c>
      <c r="H851">
        <v>50</v>
      </c>
      <c r="I851" t="s">
        <v>24</v>
      </c>
      <c r="J851" t="s">
        <v>58</v>
      </c>
    </row>
    <row r="852" spans="1:10" x14ac:dyDescent="0.25">
      <c r="A852" s="1">
        <v>45135</v>
      </c>
      <c r="B852" t="s">
        <v>883</v>
      </c>
      <c r="C852" t="s">
        <v>16</v>
      </c>
      <c r="D852">
        <v>26</v>
      </c>
      <c r="E852" t="s">
        <v>12</v>
      </c>
      <c r="F852">
        <v>2</v>
      </c>
      <c r="G852">
        <v>500</v>
      </c>
      <c r="H852">
        <v>1000</v>
      </c>
      <c r="I852" t="s">
        <v>76</v>
      </c>
      <c r="J852" t="s">
        <v>14</v>
      </c>
    </row>
    <row r="853" spans="1:10" x14ac:dyDescent="0.25">
      <c r="A853" s="1">
        <v>45177</v>
      </c>
      <c r="B853" t="s">
        <v>884</v>
      </c>
      <c r="C853" t="s">
        <v>11</v>
      </c>
      <c r="D853">
        <v>32</v>
      </c>
      <c r="E853" t="s">
        <v>21</v>
      </c>
      <c r="F853">
        <v>2</v>
      </c>
      <c r="G853">
        <v>25</v>
      </c>
      <c r="H853">
        <v>50</v>
      </c>
      <c r="I853" t="s">
        <v>49</v>
      </c>
      <c r="J853" t="s">
        <v>14</v>
      </c>
    </row>
    <row r="854" spans="1:10" x14ac:dyDescent="0.25">
      <c r="A854" s="1">
        <v>45211</v>
      </c>
      <c r="B854" t="s">
        <v>885</v>
      </c>
      <c r="C854" t="s">
        <v>16</v>
      </c>
      <c r="D854">
        <v>41</v>
      </c>
      <c r="E854" t="s">
        <v>17</v>
      </c>
      <c r="F854">
        <v>1</v>
      </c>
      <c r="G854">
        <v>300</v>
      </c>
      <c r="H854">
        <v>300</v>
      </c>
      <c r="I854" t="s">
        <v>38</v>
      </c>
      <c r="J854" t="s">
        <v>58</v>
      </c>
    </row>
    <row r="855" spans="1:10" x14ac:dyDescent="0.25">
      <c r="A855" s="1">
        <v>45050</v>
      </c>
      <c r="B855" t="s">
        <v>886</v>
      </c>
      <c r="C855" t="s">
        <v>11</v>
      </c>
      <c r="D855">
        <v>21</v>
      </c>
      <c r="E855" t="s">
        <v>12</v>
      </c>
      <c r="F855">
        <v>2</v>
      </c>
      <c r="G855">
        <v>500</v>
      </c>
      <c r="H855">
        <v>1000</v>
      </c>
      <c r="I855" t="s">
        <v>24</v>
      </c>
      <c r="J855" t="s">
        <v>58</v>
      </c>
    </row>
    <row r="856" spans="1:10" x14ac:dyDescent="0.25">
      <c r="A856" s="1">
        <v>45280</v>
      </c>
      <c r="B856" t="s">
        <v>887</v>
      </c>
      <c r="C856" t="s">
        <v>11</v>
      </c>
      <c r="D856">
        <v>29</v>
      </c>
      <c r="E856" t="s">
        <v>17</v>
      </c>
      <c r="F856">
        <v>1</v>
      </c>
      <c r="G856">
        <v>50</v>
      </c>
      <c r="H856">
        <v>50</v>
      </c>
      <c r="I856" t="s">
        <v>36</v>
      </c>
      <c r="J856" t="s">
        <v>34</v>
      </c>
    </row>
    <row r="857" spans="1:10" x14ac:dyDescent="0.25">
      <c r="A857" s="1">
        <v>45170</v>
      </c>
      <c r="B857" t="s">
        <v>888</v>
      </c>
      <c r="C857" t="s">
        <v>11</v>
      </c>
      <c r="D857">
        <v>54</v>
      </c>
      <c r="E857" t="s">
        <v>12</v>
      </c>
      <c r="F857">
        <v>1</v>
      </c>
      <c r="G857">
        <v>25</v>
      </c>
      <c r="H857">
        <v>25</v>
      </c>
      <c r="I857" t="s">
        <v>49</v>
      </c>
      <c r="J857" t="s">
        <v>14</v>
      </c>
    </row>
    <row r="858" spans="1:10" x14ac:dyDescent="0.25">
      <c r="A858" s="1">
        <v>45257</v>
      </c>
      <c r="B858" t="s">
        <v>889</v>
      </c>
      <c r="C858" t="s">
        <v>11</v>
      </c>
      <c r="D858">
        <v>54</v>
      </c>
      <c r="E858" t="s">
        <v>21</v>
      </c>
      <c r="F858">
        <v>4</v>
      </c>
      <c r="G858">
        <v>30</v>
      </c>
      <c r="H858">
        <v>120</v>
      </c>
      <c r="I858" t="s">
        <v>13</v>
      </c>
      <c r="J858" t="s">
        <v>19</v>
      </c>
    </row>
    <row r="859" spans="1:10" x14ac:dyDescent="0.25">
      <c r="A859" s="1">
        <v>45291</v>
      </c>
      <c r="B859" t="s">
        <v>890</v>
      </c>
      <c r="C859" t="s">
        <v>11</v>
      </c>
      <c r="D859">
        <v>60</v>
      </c>
      <c r="E859" t="s">
        <v>21</v>
      </c>
      <c r="F859">
        <v>2</v>
      </c>
      <c r="G859">
        <v>25</v>
      </c>
      <c r="H859">
        <v>50</v>
      </c>
      <c r="I859" t="s">
        <v>36</v>
      </c>
      <c r="J859" t="s">
        <v>25</v>
      </c>
    </row>
    <row r="860" spans="1:10" x14ac:dyDescent="0.25">
      <c r="A860" s="1">
        <v>45178</v>
      </c>
      <c r="B860" t="s">
        <v>891</v>
      </c>
      <c r="C860" t="s">
        <v>11</v>
      </c>
      <c r="D860">
        <v>23</v>
      </c>
      <c r="E860" t="s">
        <v>21</v>
      </c>
      <c r="F860">
        <v>2</v>
      </c>
      <c r="G860">
        <v>50</v>
      </c>
      <c r="H860">
        <v>100</v>
      </c>
      <c r="I860" t="s">
        <v>49</v>
      </c>
      <c r="J860" t="s">
        <v>27</v>
      </c>
    </row>
    <row r="861" spans="1:10" x14ac:dyDescent="0.25">
      <c r="A861" s="1">
        <v>45156</v>
      </c>
      <c r="B861" t="s">
        <v>892</v>
      </c>
      <c r="C861" t="s">
        <v>16</v>
      </c>
      <c r="D861">
        <v>56</v>
      </c>
      <c r="E861" t="s">
        <v>21</v>
      </c>
      <c r="F861">
        <v>3</v>
      </c>
      <c r="G861">
        <v>500</v>
      </c>
      <c r="H861">
        <v>1500</v>
      </c>
      <c r="I861" t="s">
        <v>42</v>
      </c>
      <c r="J861" t="s">
        <v>14</v>
      </c>
    </row>
    <row r="862" spans="1:10" x14ac:dyDescent="0.25">
      <c r="A862" s="1">
        <v>44935</v>
      </c>
      <c r="B862" t="s">
        <v>893</v>
      </c>
      <c r="C862" t="s">
        <v>11</v>
      </c>
      <c r="D862">
        <v>63</v>
      </c>
      <c r="E862" t="s">
        <v>17</v>
      </c>
      <c r="F862">
        <v>4</v>
      </c>
      <c r="G862">
        <v>50</v>
      </c>
      <c r="H862">
        <v>200</v>
      </c>
      <c r="I862" t="s">
        <v>22</v>
      </c>
      <c r="J862" t="s">
        <v>19</v>
      </c>
    </row>
    <row r="863" spans="1:10" x14ac:dyDescent="0.25">
      <c r="A863" s="1">
        <v>44974</v>
      </c>
      <c r="B863" t="s">
        <v>894</v>
      </c>
      <c r="C863" t="s">
        <v>16</v>
      </c>
      <c r="D863">
        <v>41</v>
      </c>
      <c r="E863" t="s">
        <v>17</v>
      </c>
      <c r="F863">
        <v>3</v>
      </c>
      <c r="G863">
        <v>30</v>
      </c>
      <c r="H863">
        <v>90</v>
      </c>
      <c r="I863" t="s">
        <v>18</v>
      </c>
      <c r="J863" t="s">
        <v>14</v>
      </c>
    </row>
    <row r="864" spans="1:10" x14ac:dyDescent="0.25">
      <c r="A864" s="1">
        <v>45077</v>
      </c>
      <c r="B864" t="s">
        <v>895</v>
      </c>
      <c r="C864" t="s">
        <v>11</v>
      </c>
      <c r="D864">
        <v>28</v>
      </c>
      <c r="E864" t="s">
        <v>21</v>
      </c>
      <c r="F864">
        <v>4</v>
      </c>
      <c r="G864">
        <v>300</v>
      </c>
      <c r="H864">
        <v>1200</v>
      </c>
      <c r="I864" t="s">
        <v>24</v>
      </c>
      <c r="J864" t="s">
        <v>34</v>
      </c>
    </row>
    <row r="865" spans="1:10" x14ac:dyDescent="0.25">
      <c r="A865" s="1">
        <v>45040</v>
      </c>
      <c r="B865" t="s">
        <v>896</v>
      </c>
      <c r="C865" t="s">
        <v>16</v>
      </c>
      <c r="D865">
        <v>30</v>
      </c>
      <c r="E865" t="s">
        <v>21</v>
      </c>
      <c r="F865">
        <v>2</v>
      </c>
      <c r="G865">
        <v>25</v>
      </c>
      <c r="H865">
        <v>50</v>
      </c>
      <c r="I865" t="s">
        <v>29</v>
      </c>
      <c r="J865" t="s">
        <v>19</v>
      </c>
    </row>
    <row r="866" spans="1:10" x14ac:dyDescent="0.25">
      <c r="A866" s="1">
        <v>45134</v>
      </c>
      <c r="B866" t="s">
        <v>897</v>
      </c>
      <c r="C866" t="s">
        <v>16</v>
      </c>
      <c r="D866">
        <v>51</v>
      </c>
      <c r="E866" t="s">
        <v>21</v>
      </c>
      <c r="F866">
        <v>1</v>
      </c>
      <c r="G866">
        <v>500</v>
      </c>
      <c r="H866">
        <v>500</v>
      </c>
      <c r="I866" t="s">
        <v>76</v>
      </c>
      <c r="J866" t="s">
        <v>58</v>
      </c>
    </row>
    <row r="867" spans="1:10" x14ac:dyDescent="0.25">
      <c r="A867" s="1">
        <v>45281</v>
      </c>
      <c r="B867" t="s">
        <v>898</v>
      </c>
      <c r="C867" t="s">
        <v>16</v>
      </c>
      <c r="D867">
        <v>42</v>
      </c>
      <c r="E867" t="s">
        <v>17</v>
      </c>
      <c r="F867">
        <v>1</v>
      </c>
      <c r="G867">
        <v>300</v>
      </c>
      <c r="H867">
        <v>300</v>
      </c>
      <c r="I867" t="s">
        <v>36</v>
      </c>
      <c r="J867" t="s">
        <v>58</v>
      </c>
    </row>
    <row r="868" spans="1:10" x14ac:dyDescent="0.25">
      <c r="A868" s="1">
        <v>45051</v>
      </c>
      <c r="B868" t="s">
        <v>899</v>
      </c>
      <c r="C868" t="s">
        <v>11</v>
      </c>
      <c r="D868">
        <v>24</v>
      </c>
      <c r="E868" t="s">
        <v>21</v>
      </c>
      <c r="F868">
        <v>1</v>
      </c>
      <c r="G868">
        <v>50</v>
      </c>
      <c r="H868">
        <v>50</v>
      </c>
      <c r="I868" t="s">
        <v>24</v>
      </c>
      <c r="J868" t="s">
        <v>14</v>
      </c>
    </row>
    <row r="869" spans="1:10" x14ac:dyDescent="0.25">
      <c r="A869" s="1">
        <v>45083</v>
      </c>
      <c r="B869" t="s">
        <v>900</v>
      </c>
      <c r="C869" t="s">
        <v>11</v>
      </c>
      <c r="D869">
        <v>21</v>
      </c>
      <c r="E869" t="s">
        <v>21</v>
      </c>
      <c r="F869">
        <v>1</v>
      </c>
      <c r="G869">
        <v>500</v>
      </c>
      <c r="H869">
        <v>500</v>
      </c>
      <c r="I869" t="s">
        <v>68</v>
      </c>
      <c r="J869" t="s">
        <v>30</v>
      </c>
    </row>
    <row r="870" spans="1:10" x14ac:dyDescent="0.25">
      <c r="A870" s="1">
        <v>45266</v>
      </c>
      <c r="B870" t="s">
        <v>901</v>
      </c>
      <c r="C870" t="s">
        <v>16</v>
      </c>
      <c r="D870">
        <v>25</v>
      </c>
      <c r="E870" t="s">
        <v>21</v>
      </c>
      <c r="F870">
        <v>1</v>
      </c>
      <c r="G870">
        <v>300</v>
      </c>
      <c r="H870">
        <v>300</v>
      </c>
      <c r="I870" t="s">
        <v>36</v>
      </c>
      <c r="J870" t="s">
        <v>34</v>
      </c>
    </row>
    <row r="871" spans="1:10" x14ac:dyDescent="0.25">
      <c r="A871" s="1">
        <v>45224</v>
      </c>
      <c r="B871" t="s">
        <v>902</v>
      </c>
      <c r="C871" t="s">
        <v>11</v>
      </c>
      <c r="D871">
        <v>37</v>
      </c>
      <c r="E871" t="s">
        <v>12</v>
      </c>
      <c r="F871">
        <v>3</v>
      </c>
      <c r="G871">
        <v>500</v>
      </c>
      <c r="H871">
        <v>1500</v>
      </c>
      <c r="I871" t="s">
        <v>38</v>
      </c>
      <c r="J871" t="s">
        <v>34</v>
      </c>
    </row>
    <row r="872" spans="1:10" x14ac:dyDescent="0.25">
      <c r="A872" s="1">
        <v>45115</v>
      </c>
      <c r="B872" t="s">
        <v>903</v>
      </c>
      <c r="C872" t="s">
        <v>16</v>
      </c>
      <c r="D872">
        <v>46</v>
      </c>
      <c r="E872" t="s">
        <v>21</v>
      </c>
      <c r="F872">
        <v>4</v>
      </c>
      <c r="G872">
        <v>30</v>
      </c>
      <c r="H872">
        <v>120</v>
      </c>
      <c r="I872" t="s">
        <v>76</v>
      </c>
      <c r="J872" t="s">
        <v>27</v>
      </c>
    </row>
    <row r="873" spans="1:10" x14ac:dyDescent="0.25">
      <c r="A873" s="1">
        <v>45169</v>
      </c>
      <c r="B873" t="s">
        <v>904</v>
      </c>
      <c r="C873" t="s">
        <v>11</v>
      </c>
      <c r="D873">
        <v>62</v>
      </c>
      <c r="E873" t="s">
        <v>12</v>
      </c>
      <c r="F873">
        <v>2</v>
      </c>
      <c r="G873">
        <v>30</v>
      </c>
      <c r="H873">
        <v>60</v>
      </c>
      <c r="I873" t="s">
        <v>42</v>
      </c>
      <c r="J873" t="s">
        <v>58</v>
      </c>
    </row>
    <row r="874" spans="1:10" x14ac:dyDescent="0.25">
      <c r="A874" s="1">
        <v>45210</v>
      </c>
      <c r="B874" t="s">
        <v>905</v>
      </c>
      <c r="C874" t="s">
        <v>16</v>
      </c>
      <c r="D874">
        <v>63</v>
      </c>
      <c r="E874" t="s">
        <v>12</v>
      </c>
      <c r="F874">
        <v>3</v>
      </c>
      <c r="G874">
        <v>25</v>
      </c>
      <c r="H874">
        <v>75</v>
      </c>
      <c r="I874" t="s">
        <v>38</v>
      </c>
      <c r="J874" t="s">
        <v>34</v>
      </c>
    </row>
    <row r="875" spans="1:10" x14ac:dyDescent="0.25">
      <c r="A875" s="1">
        <v>45198</v>
      </c>
      <c r="B875" t="s">
        <v>906</v>
      </c>
      <c r="C875" t="s">
        <v>16</v>
      </c>
      <c r="D875">
        <v>27</v>
      </c>
      <c r="E875" t="s">
        <v>21</v>
      </c>
      <c r="F875">
        <v>4</v>
      </c>
      <c r="G875">
        <v>25</v>
      </c>
      <c r="H875">
        <v>100</v>
      </c>
      <c r="I875" t="s">
        <v>49</v>
      </c>
      <c r="J875" t="s">
        <v>14</v>
      </c>
    </row>
    <row r="876" spans="1:10" x14ac:dyDescent="0.25">
      <c r="A876" s="1">
        <v>45103</v>
      </c>
      <c r="B876" t="s">
        <v>907</v>
      </c>
      <c r="C876" t="s">
        <v>11</v>
      </c>
      <c r="D876">
        <v>60</v>
      </c>
      <c r="E876" t="s">
        <v>12</v>
      </c>
      <c r="F876">
        <v>1</v>
      </c>
      <c r="G876">
        <v>30</v>
      </c>
      <c r="H876">
        <v>30</v>
      </c>
      <c r="I876" t="s">
        <v>68</v>
      </c>
      <c r="J876" t="s">
        <v>19</v>
      </c>
    </row>
    <row r="877" spans="1:10" x14ac:dyDescent="0.25">
      <c r="A877" s="1">
        <v>45144</v>
      </c>
      <c r="B877" t="s">
        <v>908</v>
      </c>
      <c r="C877" t="s">
        <v>16</v>
      </c>
      <c r="D877">
        <v>51</v>
      </c>
      <c r="E877" t="s">
        <v>21</v>
      </c>
      <c r="F877">
        <v>4</v>
      </c>
      <c r="G877">
        <v>500</v>
      </c>
      <c r="H877">
        <v>2000</v>
      </c>
      <c r="I877" t="s">
        <v>42</v>
      </c>
      <c r="J877" t="s">
        <v>25</v>
      </c>
    </row>
    <row r="878" spans="1:10" x14ac:dyDescent="0.25">
      <c r="A878" s="1">
        <v>45208</v>
      </c>
      <c r="B878" t="s">
        <v>909</v>
      </c>
      <c r="C878" t="s">
        <v>11</v>
      </c>
      <c r="D878">
        <v>43</v>
      </c>
      <c r="E878" t="s">
        <v>17</v>
      </c>
      <c r="F878">
        <v>4</v>
      </c>
      <c r="G878">
        <v>30</v>
      </c>
      <c r="H878">
        <v>120</v>
      </c>
      <c r="I878" t="s">
        <v>38</v>
      </c>
      <c r="J878" t="s">
        <v>19</v>
      </c>
    </row>
    <row r="879" spans="1:10" x14ac:dyDescent="0.25">
      <c r="A879" s="1">
        <v>45096</v>
      </c>
      <c r="B879" t="s">
        <v>910</v>
      </c>
      <c r="C879" t="s">
        <v>16</v>
      </c>
      <c r="D879">
        <v>58</v>
      </c>
      <c r="E879" t="s">
        <v>17</v>
      </c>
      <c r="F879">
        <v>1</v>
      </c>
      <c r="G879">
        <v>25</v>
      </c>
      <c r="H879">
        <v>25</v>
      </c>
      <c r="I879" t="s">
        <v>68</v>
      </c>
      <c r="J879" t="s">
        <v>19</v>
      </c>
    </row>
    <row r="880" spans="1:10" x14ac:dyDescent="0.25">
      <c r="A880" s="1">
        <v>45107</v>
      </c>
      <c r="B880" t="s">
        <v>911</v>
      </c>
      <c r="C880" t="s">
        <v>16</v>
      </c>
      <c r="D880">
        <v>20</v>
      </c>
      <c r="E880" t="s">
        <v>17</v>
      </c>
      <c r="F880">
        <v>1</v>
      </c>
      <c r="G880">
        <v>30</v>
      </c>
      <c r="H880">
        <v>30</v>
      </c>
      <c r="I880" t="s">
        <v>68</v>
      </c>
      <c r="J880" t="s">
        <v>14</v>
      </c>
    </row>
    <row r="881" spans="1:10" x14ac:dyDescent="0.25">
      <c r="A881" s="1">
        <v>45286</v>
      </c>
      <c r="B881" t="s">
        <v>912</v>
      </c>
      <c r="C881" t="s">
        <v>11</v>
      </c>
      <c r="D881">
        <v>23</v>
      </c>
      <c r="E881" t="s">
        <v>17</v>
      </c>
      <c r="F881">
        <v>1</v>
      </c>
      <c r="G881">
        <v>30</v>
      </c>
      <c r="H881">
        <v>30</v>
      </c>
      <c r="I881" t="s">
        <v>36</v>
      </c>
      <c r="J881" t="s">
        <v>30</v>
      </c>
    </row>
    <row r="882" spans="1:10" x14ac:dyDescent="0.25">
      <c r="A882" s="1">
        <v>45159</v>
      </c>
      <c r="B882" t="s">
        <v>913</v>
      </c>
      <c r="C882" t="s">
        <v>11</v>
      </c>
      <c r="D882">
        <v>22</v>
      </c>
      <c r="E882" t="s">
        <v>12</v>
      </c>
      <c r="F882">
        <v>2</v>
      </c>
      <c r="G882">
        <v>500</v>
      </c>
      <c r="H882">
        <v>1000</v>
      </c>
      <c r="I882" t="s">
        <v>42</v>
      </c>
      <c r="J882" t="s">
        <v>19</v>
      </c>
    </row>
    <row r="883" spans="1:10" x14ac:dyDescent="0.25">
      <c r="A883" s="1">
        <v>45065</v>
      </c>
      <c r="B883" t="s">
        <v>914</v>
      </c>
      <c r="C883" t="s">
        <v>11</v>
      </c>
      <c r="D883">
        <v>22</v>
      </c>
      <c r="E883" t="s">
        <v>21</v>
      </c>
      <c r="F883">
        <v>1</v>
      </c>
      <c r="G883">
        <v>300</v>
      </c>
      <c r="H883">
        <v>300</v>
      </c>
      <c r="I883" t="s">
        <v>24</v>
      </c>
      <c r="J883" t="s">
        <v>14</v>
      </c>
    </row>
    <row r="884" spans="1:10" x14ac:dyDescent="0.25">
      <c r="A884" s="1">
        <v>45083</v>
      </c>
      <c r="B884" t="s">
        <v>915</v>
      </c>
      <c r="C884" t="s">
        <v>16</v>
      </c>
      <c r="D884">
        <v>64</v>
      </c>
      <c r="E884" t="s">
        <v>21</v>
      </c>
      <c r="F884">
        <v>2</v>
      </c>
      <c r="G884">
        <v>25</v>
      </c>
      <c r="H884">
        <v>50</v>
      </c>
      <c r="I884" t="s">
        <v>68</v>
      </c>
      <c r="J884" t="s">
        <v>30</v>
      </c>
    </row>
    <row r="885" spans="1:10" x14ac:dyDescent="0.25">
      <c r="A885" s="1">
        <v>45055</v>
      </c>
      <c r="B885" t="s">
        <v>916</v>
      </c>
      <c r="C885" t="s">
        <v>11</v>
      </c>
      <c r="D885">
        <v>40</v>
      </c>
      <c r="E885" t="s">
        <v>21</v>
      </c>
      <c r="F885">
        <v>1</v>
      </c>
      <c r="G885">
        <v>500</v>
      </c>
      <c r="H885">
        <v>500</v>
      </c>
      <c r="I885" t="s">
        <v>24</v>
      </c>
      <c r="J885" t="s">
        <v>30</v>
      </c>
    </row>
    <row r="886" spans="1:10" x14ac:dyDescent="0.25">
      <c r="A886" s="1">
        <v>45045</v>
      </c>
      <c r="B886" t="s">
        <v>917</v>
      </c>
      <c r="C886" t="s">
        <v>16</v>
      </c>
      <c r="D886">
        <v>26</v>
      </c>
      <c r="E886" t="s">
        <v>17</v>
      </c>
      <c r="F886">
        <v>2</v>
      </c>
      <c r="G886">
        <v>30</v>
      </c>
      <c r="H886">
        <v>60</v>
      </c>
      <c r="I886" t="s">
        <v>29</v>
      </c>
      <c r="J886" t="s">
        <v>27</v>
      </c>
    </row>
    <row r="887" spans="1:10" x14ac:dyDescent="0.25">
      <c r="A887" s="1">
        <v>44988</v>
      </c>
      <c r="B887" t="s">
        <v>918</v>
      </c>
      <c r="C887" t="s">
        <v>16</v>
      </c>
      <c r="D887">
        <v>52</v>
      </c>
      <c r="E887" t="s">
        <v>17</v>
      </c>
      <c r="F887">
        <v>4</v>
      </c>
      <c r="G887">
        <v>30</v>
      </c>
      <c r="H887">
        <v>120</v>
      </c>
      <c r="I887" t="s">
        <v>32</v>
      </c>
      <c r="J887" t="s">
        <v>14</v>
      </c>
    </row>
    <row r="888" spans="1:10" x14ac:dyDescent="0.25">
      <c r="A888" s="1">
        <v>45025</v>
      </c>
      <c r="B888" t="s">
        <v>919</v>
      </c>
      <c r="C888" t="s">
        <v>11</v>
      </c>
      <c r="D888">
        <v>37</v>
      </c>
      <c r="E888" t="s">
        <v>21</v>
      </c>
      <c r="F888">
        <v>3</v>
      </c>
      <c r="G888">
        <v>300</v>
      </c>
      <c r="H888">
        <v>900</v>
      </c>
      <c r="I888" t="s">
        <v>29</v>
      </c>
      <c r="J888" t="s">
        <v>25</v>
      </c>
    </row>
    <row r="889" spans="1:10" x14ac:dyDescent="0.25">
      <c r="A889" s="1">
        <v>45088</v>
      </c>
      <c r="B889" t="s">
        <v>920</v>
      </c>
      <c r="C889" t="s">
        <v>11</v>
      </c>
      <c r="D889">
        <v>59</v>
      </c>
      <c r="E889" t="s">
        <v>17</v>
      </c>
      <c r="F889">
        <v>4</v>
      </c>
      <c r="G889">
        <v>25</v>
      </c>
      <c r="H889">
        <v>100</v>
      </c>
      <c r="I889" t="s">
        <v>68</v>
      </c>
      <c r="J889" t="s">
        <v>25</v>
      </c>
    </row>
    <row r="890" spans="1:10" x14ac:dyDescent="0.25">
      <c r="A890" s="1">
        <v>44988</v>
      </c>
      <c r="B890" t="s">
        <v>921</v>
      </c>
      <c r="C890" t="s">
        <v>16</v>
      </c>
      <c r="D890">
        <v>52</v>
      </c>
      <c r="E890" t="s">
        <v>21</v>
      </c>
      <c r="F890">
        <v>4</v>
      </c>
      <c r="G890">
        <v>25</v>
      </c>
      <c r="H890">
        <v>100</v>
      </c>
      <c r="I890" t="s">
        <v>32</v>
      </c>
      <c r="J890" t="s">
        <v>14</v>
      </c>
    </row>
    <row r="891" spans="1:10" x14ac:dyDescent="0.25">
      <c r="A891" s="1">
        <v>45201</v>
      </c>
      <c r="B891" t="s">
        <v>922</v>
      </c>
      <c r="C891" t="s">
        <v>16</v>
      </c>
      <c r="D891">
        <v>35</v>
      </c>
      <c r="E891" t="s">
        <v>21</v>
      </c>
      <c r="F891">
        <v>1</v>
      </c>
      <c r="G891">
        <v>50</v>
      </c>
      <c r="H891">
        <v>50</v>
      </c>
      <c r="I891" t="s">
        <v>38</v>
      </c>
      <c r="J891" t="s">
        <v>19</v>
      </c>
    </row>
    <row r="892" spans="1:10" x14ac:dyDescent="0.25">
      <c r="A892" s="1">
        <v>45280</v>
      </c>
      <c r="B892" t="s">
        <v>923</v>
      </c>
      <c r="C892" t="s">
        <v>11</v>
      </c>
      <c r="D892">
        <v>34</v>
      </c>
      <c r="E892" t="s">
        <v>21</v>
      </c>
      <c r="F892">
        <v>2</v>
      </c>
      <c r="G892">
        <v>25</v>
      </c>
      <c r="H892">
        <v>50</v>
      </c>
      <c r="I892" t="s">
        <v>36</v>
      </c>
      <c r="J892" t="s">
        <v>34</v>
      </c>
    </row>
    <row r="893" spans="1:10" x14ac:dyDescent="0.25">
      <c r="A893" s="1">
        <v>45021</v>
      </c>
      <c r="B893" t="s">
        <v>924</v>
      </c>
      <c r="C893" t="s">
        <v>11</v>
      </c>
      <c r="D893">
        <v>41</v>
      </c>
      <c r="E893" t="s">
        <v>21</v>
      </c>
      <c r="F893">
        <v>3</v>
      </c>
      <c r="G893">
        <v>300</v>
      </c>
      <c r="H893">
        <v>900</v>
      </c>
      <c r="I893" t="s">
        <v>29</v>
      </c>
      <c r="J893" t="s">
        <v>34</v>
      </c>
    </row>
    <row r="894" spans="1:10" x14ac:dyDescent="0.25">
      <c r="A894" s="1">
        <v>45025</v>
      </c>
      <c r="B894" t="s">
        <v>925</v>
      </c>
      <c r="C894" t="s">
        <v>11</v>
      </c>
      <c r="D894">
        <v>20</v>
      </c>
      <c r="E894" t="s">
        <v>21</v>
      </c>
      <c r="F894">
        <v>1</v>
      </c>
      <c r="G894">
        <v>50</v>
      </c>
      <c r="H894">
        <v>50</v>
      </c>
      <c r="I894" t="s">
        <v>29</v>
      </c>
      <c r="J894" t="s">
        <v>25</v>
      </c>
    </row>
    <row r="895" spans="1:10" x14ac:dyDescent="0.25">
      <c r="A895" s="1">
        <v>45037</v>
      </c>
      <c r="B895" t="s">
        <v>926</v>
      </c>
      <c r="C895" t="s">
        <v>11</v>
      </c>
      <c r="D895">
        <v>49</v>
      </c>
      <c r="E895" t="s">
        <v>21</v>
      </c>
      <c r="F895">
        <v>1</v>
      </c>
      <c r="G895">
        <v>50</v>
      </c>
      <c r="H895">
        <v>50</v>
      </c>
      <c r="I895" t="s">
        <v>29</v>
      </c>
      <c r="J895" t="s">
        <v>14</v>
      </c>
    </row>
    <row r="896" spans="1:10" x14ac:dyDescent="0.25">
      <c r="A896" s="1">
        <v>45174</v>
      </c>
      <c r="B896" t="s">
        <v>927</v>
      </c>
      <c r="C896" t="s">
        <v>11</v>
      </c>
      <c r="D896">
        <v>52</v>
      </c>
      <c r="E896" t="s">
        <v>21</v>
      </c>
      <c r="F896">
        <v>1</v>
      </c>
      <c r="G896">
        <v>30</v>
      </c>
      <c r="H896">
        <v>30</v>
      </c>
      <c r="I896" t="s">
        <v>49</v>
      </c>
      <c r="J896" t="s">
        <v>30</v>
      </c>
    </row>
    <row r="897" spans="1:10" x14ac:dyDescent="0.25">
      <c r="A897" s="1">
        <v>45068</v>
      </c>
      <c r="B897" t="s">
        <v>928</v>
      </c>
      <c r="C897" t="s">
        <v>16</v>
      </c>
      <c r="D897">
        <v>55</v>
      </c>
      <c r="E897" t="s">
        <v>17</v>
      </c>
      <c r="F897">
        <v>4</v>
      </c>
      <c r="G897">
        <v>30</v>
      </c>
      <c r="H897">
        <v>120</v>
      </c>
      <c r="I897" t="s">
        <v>24</v>
      </c>
      <c r="J897" t="s">
        <v>19</v>
      </c>
    </row>
    <row r="898" spans="1:10" x14ac:dyDescent="0.25">
      <c r="A898" s="1">
        <v>45228</v>
      </c>
      <c r="B898" t="s">
        <v>929</v>
      </c>
      <c r="C898" t="s">
        <v>16</v>
      </c>
      <c r="D898">
        <v>30</v>
      </c>
      <c r="E898" t="s">
        <v>21</v>
      </c>
      <c r="F898">
        <v>2</v>
      </c>
      <c r="G898">
        <v>25</v>
      </c>
      <c r="H898">
        <v>50</v>
      </c>
      <c r="I898" t="s">
        <v>38</v>
      </c>
      <c r="J898" t="s">
        <v>25</v>
      </c>
    </row>
    <row r="899" spans="1:10" x14ac:dyDescent="0.25">
      <c r="A899" s="1">
        <v>45195</v>
      </c>
      <c r="B899" t="s">
        <v>930</v>
      </c>
      <c r="C899" t="s">
        <v>16</v>
      </c>
      <c r="D899">
        <v>64</v>
      </c>
      <c r="E899" t="s">
        <v>21</v>
      </c>
      <c r="F899">
        <v>2</v>
      </c>
      <c r="G899">
        <v>50</v>
      </c>
      <c r="H899">
        <v>100</v>
      </c>
      <c r="I899" t="s">
        <v>49</v>
      </c>
      <c r="J899" t="s">
        <v>30</v>
      </c>
    </row>
    <row r="900" spans="1:10" x14ac:dyDescent="0.25">
      <c r="A900" s="1">
        <v>45232</v>
      </c>
      <c r="B900" t="s">
        <v>931</v>
      </c>
      <c r="C900" t="s">
        <v>16</v>
      </c>
      <c r="D900">
        <v>42</v>
      </c>
      <c r="E900" t="s">
        <v>17</v>
      </c>
      <c r="F900">
        <v>3</v>
      </c>
      <c r="G900">
        <v>30</v>
      </c>
      <c r="H900">
        <v>90</v>
      </c>
      <c r="I900" t="s">
        <v>13</v>
      </c>
      <c r="J900" t="s">
        <v>58</v>
      </c>
    </row>
    <row r="901" spans="1:10" x14ac:dyDescent="0.25">
      <c r="A901" s="1">
        <v>45071</v>
      </c>
      <c r="B901" t="s">
        <v>932</v>
      </c>
      <c r="C901" t="s">
        <v>11</v>
      </c>
      <c r="D901">
        <v>26</v>
      </c>
      <c r="E901" t="s">
        <v>17</v>
      </c>
      <c r="F901">
        <v>2</v>
      </c>
      <c r="G901">
        <v>300</v>
      </c>
      <c r="H901">
        <v>600</v>
      </c>
      <c r="I901" t="s">
        <v>24</v>
      </c>
      <c r="J901" t="s">
        <v>58</v>
      </c>
    </row>
    <row r="902" spans="1:10" x14ac:dyDescent="0.25">
      <c r="A902" s="1">
        <v>44978</v>
      </c>
      <c r="B902" t="s">
        <v>933</v>
      </c>
      <c r="C902" t="s">
        <v>11</v>
      </c>
      <c r="D902">
        <v>21</v>
      </c>
      <c r="E902" t="s">
        <v>17</v>
      </c>
      <c r="F902">
        <v>2</v>
      </c>
      <c r="G902">
        <v>30</v>
      </c>
      <c r="H902">
        <v>60</v>
      </c>
      <c r="I902" t="s">
        <v>18</v>
      </c>
      <c r="J902" t="s">
        <v>30</v>
      </c>
    </row>
    <row r="903" spans="1:10" x14ac:dyDescent="0.25">
      <c r="A903" s="1">
        <v>45026</v>
      </c>
      <c r="B903" t="s">
        <v>934</v>
      </c>
      <c r="C903" t="s">
        <v>11</v>
      </c>
      <c r="D903">
        <v>31</v>
      </c>
      <c r="E903" t="s">
        <v>21</v>
      </c>
      <c r="F903">
        <v>1</v>
      </c>
      <c r="G903">
        <v>30</v>
      </c>
      <c r="H903">
        <v>30</v>
      </c>
      <c r="I903" t="s">
        <v>29</v>
      </c>
      <c r="J903" t="s">
        <v>19</v>
      </c>
    </row>
    <row r="904" spans="1:10" x14ac:dyDescent="0.25">
      <c r="A904" s="1">
        <v>45078</v>
      </c>
      <c r="B904" t="s">
        <v>935</v>
      </c>
      <c r="C904" t="s">
        <v>16</v>
      </c>
      <c r="D904">
        <v>54</v>
      </c>
      <c r="E904" t="s">
        <v>12</v>
      </c>
      <c r="F904">
        <v>1</v>
      </c>
      <c r="G904">
        <v>50</v>
      </c>
      <c r="H904">
        <v>50</v>
      </c>
      <c r="I904" t="s">
        <v>68</v>
      </c>
      <c r="J904" t="s">
        <v>58</v>
      </c>
    </row>
    <row r="905" spans="1:10" x14ac:dyDescent="0.25">
      <c r="A905" s="1">
        <v>45043</v>
      </c>
      <c r="B905" t="s">
        <v>936</v>
      </c>
      <c r="C905" t="s">
        <v>16</v>
      </c>
      <c r="D905">
        <v>51</v>
      </c>
      <c r="E905" t="s">
        <v>12</v>
      </c>
      <c r="F905">
        <v>4</v>
      </c>
      <c r="G905">
        <v>50</v>
      </c>
      <c r="H905">
        <v>200</v>
      </c>
      <c r="I905" t="s">
        <v>29</v>
      </c>
      <c r="J905" t="s">
        <v>58</v>
      </c>
    </row>
    <row r="906" spans="1:10" x14ac:dyDescent="0.25">
      <c r="A906" s="1">
        <v>45111</v>
      </c>
      <c r="B906" t="s">
        <v>937</v>
      </c>
      <c r="C906" t="s">
        <v>11</v>
      </c>
      <c r="D906">
        <v>28</v>
      </c>
      <c r="E906" t="s">
        <v>17</v>
      </c>
      <c r="F906">
        <v>1</v>
      </c>
      <c r="G906">
        <v>500</v>
      </c>
      <c r="H906">
        <v>500</v>
      </c>
      <c r="I906" t="s">
        <v>76</v>
      </c>
      <c r="J906" t="s">
        <v>30</v>
      </c>
    </row>
    <row r="907" spans="1:10" x14ac:dyDescent="0.25">
      <c r="A907" s="1">
        <v>45018</v>
      </c>
      <c r="B907" t="s">
        <v>938</v>
      </c>
      <c r="C907" t="s">
        <v>11</v>
      </c>
      <c r="D907">
        <v>58</v>
      </c>
      <c r="E907" t="s">
        <v>12</v>
      </c>
      <c r="F907">
        <v>1</v>
      </c>
      <c r="G907">
        <v>300</v>
      </c>
      <c r="H907">
        <v>300</v>
      </c>
      <c r="I907" t="s">
        <v>29</v>
      </c>
      <c r="J907" t="s">
        <v>25</v>
      </c>
    </row>
    <row r="908" spans="1:10" x14ac:dyDescent="0.25">
      <c r="A908" s="1">
        <v>45081</v>
      </c>
      <c r="B908" t="s">
        <v>939</v>
      </c>
      <c r="C908" t="s">
        <v>16</v>
      </c>
      <c r="D908">
        <v>20</v>
      </c>
      <c r="E908" t="s">
        <v>17</v>
      </c>
      <c r="F908">
        <v>1</v>
      </c>
      <c r="G908">
        <v>50</v>
      </c>
      <c r="H908">
        <v>50</v>
      </c>
      <c r="I908" t="s">
        <v>68</v>
      </c>
      <c r="J908" t="s">
        <v>25</v>
      </c>
    </row>
    <row r="909" spans="1:10" x14ac:dyDescent="0.25">
      <c r="A909" s="1">
        <v>44934</v>
      </c>
      <c r="B909" t="s">
        <v>940</v>
      </c>
      <c r="C909" t="s">
        <v>16</v>
      </c>
      <c r="D909">
        <v>45</v>
      </c>
      <c r="E909" t="s">
        <v>21</v>
      </c>
      <c r="F909">
        <v>1</v>
      </c>
      <c r="G909">
        <v>25</v>
      </c>
      <c r="H909">
        <v>25</v>
      </c>
      <c r="I909" t="s">
        <v>22</v>
      </c>
      <c r="J909" t="s">
        <v>25</v>
      </c>
    </row>
    <row r="910" spans="1:10" x14ac:dyDescent="0.25">
      <c r="A910" s="1">
        <v>45289</v>
      </c>
      <c r="B910" t="s">
        <v>941</v>
      </c>
      <c r="C910" t="s">
        <v>11</v>
      </c>
      <c r="D910">
        <v>46</v>
      </c>
      <c r="E910" t="s">
        <v>12</v>
      </c>
      <c r="F910">
        <v>4</v>
      </c>
      <c r="G910">
        <v>300</v>
      </c>
      <c r="H910">
        <v>1200</v>
      </c>
      <c r="I910" t="s">
        <v>36</v>
      </c>
      <c r="J910" t="s">
        <v>14</v>
      </c>
    </row>
    <row r="911" spans="1:10" x14ac:dyDescent="0.25">
      <c r="A911" s="1">
        <v>45200</v>
      </c>
      <c r="B911" t="s">
        <v>942</v>
      </c>
      <c r="C911" t="s">
        <v>11</v>
      </c>
      <c r="D911">
        <v>26</v>
      </c>
      <c r="E911" t="s">
        <v>21</v>
      </c>
      <c r="F911">
        <v>1</v>
      </c>
      <c r="G911">
        <v>300</v>
      </c>
      <c r="H911">
        <v>300</v>
      </c>
      <c r="I911" t="s">
        <v>38</v>
      </c>
      <c r="J911" t="s">
        <v>25</v>
      </c>
    </row>
    <row r="912" spans="1:10" x14ac:dyDescent="0.25">
      <c r="A912" s="1">
        <v>44991</v>
      </c>
      <c r="B912" t="s">
        <v>943</v>
      </c>
      <c r="C912" t="s">
        <v>16</v>
      </c>
      <c r="D912">
        <v>20</v>
      </c>
      <c r="E912" t="s">
        <v>12</v>
      </c>
      <c r="F912">
        <v>3</v>
      </c>
      <c r="G912">
        <v>50</v>
      </c>
      <c r="H912">
        <v>150</v>
      </c>
      <c r="I912" t="s">
        <v>32</v>
      </c>
      <c r="J912" t="s">
        <v>19</v>
      </c>
    </row>
    <row r="913" spans="1:10" x14ac:dyDescent="0.25">
      <c r="A913" s="1">
        <v>45067</v>
      </c>
      <c r="B913" t="s">
        <v>944</v>
      </c>
      <c r="C913" t="s">
        <v>11</v>
      </c>
      <c r="D913">
        <v>42</v>
      </c>
      <c r="E913" t="s">
        <v>21</v>
      </c>
      <c r="F913">
        <v>3</v>
      </c>
      <c r="G913">
        <v>300</v>
      </c>
      <c r="H913">
        <v>900</v>
      </c>
      <c r="I913" t="s">
        <v>24</v>
      </c>
      <c r="J913" t="s">
        <v>25</v>
      </c>
    </row>
    <row r="914" spans="1:10" x14ac:dyDescent="0.25">
      <c r="A914" s="1">
        <v>44950</v>
      </c>
      <c r="B914" t="s">
        <v>945</v>
      </c>
      <c r="C914" t="s">
        <v>11</v>
      </c>
      <c r="D914">
        <v>51</v>
      </c>
      <c r="E914" t="s">
        <v>12</v>
      </c>
      <c r="F914">
        <v>3</v>
      </c>
      <c r="G914">
        <v>50</v>
      </c>
      <c r="H914">
        <v>150</v>
      </c>
      <c r="I914" t="s">
        <v>22</v>
      </c>
      <c r="J914" t="s">
        <v>30</v>
      </c>
    </row>
    <row r="915" spans="1:10" x14ac:dyDescent="0.25">
      <c r="A915" s="1">
        <v>44954</v>
      </c>
      <c r="B915" t="s">
        <v>946</v>
      </c>
      <c r="C915" t="s">
        <v>11</v>
      </c>
      <c r="D915">
        <v>29</v>
      </c>
      <c r="E915" t="s">
        <v>21</v>
      </c>
      <c r="F915">
        <v>3</v>
      </c>
      <c r="G915">
        <v>30</v>
      </c>
      <c r="H915">
        <v>90</v>
      </c>
      <c r="I915" t="s">
        <v>22</v>
      </c>
      <c r="J915" t="s">
        <v>27</v>
      </c>
    </row>
    <row r="916" spans="1:10" x14ac:dyDescent="0.25">
      <c r="A916" s="1">
        <v>45210</v>
      </c>
      <c r="B916" t="s">
        <v>947</v>
      </c>
      <c r="C916" t="s">
        <v>16</v>
      </c>
      <c r="D916">
        <v>59</v>
      </c>
      <c r="E916" t="s">
        <v>21</v>
      </c>
      <c r="F916">
        <v>1</v>
      </c>
      <c r="G916">
        <v>500</v>
      </c>
      <c r="H916">
        <v>500</v>
      </c>
      <c r="I916" t="s">
        <v>38</v>
      </c>
      <c r="J916" t="s">
        <v>34</v>
      </c>
    </row>
    <row r="917" spans="1:10" x14ac:dyDescent="0.25">
      <c r="A917" s="1">
        <v>45076</v>
      </c>
      <c r="B917" t="s">
        <v>948</v>
      </c>
      <c r="C917" t="s">
        <v>16</v>
      </c>
      <c r="D917">
        <v>26</v>
      </c>
      <c r="E917" t="s">
        <v>12</v>
      </c>
      <c r="F917">
        <v>3</v>
      </c>
      <c r="G917">
        <v>30</v>
      </c>
      <c r="H917">
        <v>90</v>
      </c>
      <c r="I917" t="s">
        <v>24</v>
      </c>
      <c r="J917" t="s">
        <v>30</v>
      </c>
    </row>
    <row r="918" spans="1:10" x14ac:dyDescent="0.25">
      <c r="A918" s="1">
        <v>45284</v>
      </c>
      <c r="B918" t="s">
        <v>949</v>
      </c>
      <c r="C918" t="s">
        <v>16</v>
      </c>
      <c r="D918">
        <v>32</v>
      </c>
      <c r="E918" t="s">
        <v>21</v>
      </c>
      <c r="F918">
        <v>1</v>
      </c>
      <c r="G918">
        <v>50</v>
      </c>
      <c r="H918">
        <v>50</v>
      </c>
      <c r="I918" t="s">
        <v>36</v>
      </c>
      <c r="J918" t="s">
        <v>25</v>
      </c>
    </row>
    <row r="919" spans="1:10" x14ac:dyDescent="0.25">
      <c r="A919" s="1">
        <v>44991</v>
      </c>
      <c r="B919" t="s">
        <v>950</v>
      </c>
      <c r="C919" t="s">
        <v>16</v>
      </c>
      <c r="D919">
        <v>57</v>
      </c>
      <c r="E919" t="s">
        <v>21</v>
      </c>
      <c r="F919">
        <v>4</v>
      </c>
      <c r="G919">
        <v>50</v>
      </c>
      <c r="H919">
        <v>200</v>
      </c>
      <c r="I919" t="s">
        <v>32</v>
      </c>
      <c r="J919" t="s">
        <v>19</v>
      </c>
    </row>
    <row r="920" spans="1:10" x14ac:dyDescent="0.25">
      <c r="A920" s="1">
        <v>45253</v>
      </c>
      <c r="B920" t="s">
        <v>951</v>
      </c>
      <c r="C920" t="s">
        <v>16</v>
      </c>
      <c r="D920">
        <v>42</v>
      </c>
      <c r="E920" t="s">
        <v>21</v>
      </c>
      <c r="F920">
        <v>3</v>
      </c>
      <c r="G920">
        <v>30</v>
      </c>
      <c r="H920">
        <v>90</v>
      </c>
      <c r="I920" t="s">
        <v>13</v>
      </c>
      <c r="J920" t="s">
        <v>58</v>
      </c>
    </row>
    <row r="921" spans="1:10" x14ac:dyDescent="0.25">
      <c r="A921" s="1">
        <v>45178</v>
      </c>
      <c r="B921" t="s">
        <v>952</v>
      </c>
      <c r="C921" t="s">
        <v>16</v>
      </c>
      <c r="D921">
        <v>22</v>
      </c>
      <c r="E921" t="s">
        <v>12</v>
      </c>
      <c r="F921">
        <v>2</v>
      </c>
      <c r="G921">
        <v>25</v>
      </c>
      <c r="H921">
        <v>50</v>
      </c>
      <c r="I921" t="s">
        <v>49</v>
      </c>
      <c r="J921" t="s">
        <v>27</v>
      </c>
    </row>
    <row r="922" spans="1:10" x14ac:dyDescent="0.25">
      <c r="A922" s="1">
        <v>44979</v>
      </c>
      <c r="B922" t="s">
        <v>953</v>
      </c>
      <c r="C922" t="s">
        <v>16</v>
      </c>
      <c r="D922">
        <v>28</v>
      </c>
      <c r="E922" t="s">
        <v>12</v>
      </c>
      <c r="F922">
        <v>3</v>
      </c>
      <c r="G922">
        <v>25</v>
      </c>
      <c r="H922">
        <v>75</v>
      </c>
      <c r="I922" t="s">
        <v>18</v>
      </c>
      <c r="J922" t="s">
        <v>34</v>
      </c>
    </row>
    <row r="923" spans="1:10" x14ac:dyDescent="0.25">
      <c r="A923" s="1">
        <v>44933</v>
      </c>
      <c r="B923" t="s">
        <v>954</v>
      </c>
      <c r="C923" t="s">
        <v>11</v>
      </c>
      <c r="D923">
        <v>51</v>
      </c>
      <c r="E923" t="s">
        <v>21</v>
      </c>
      <c r="F923">
        <v>3</v>
      </c>
      <c r="G923">
        <v>25</v>
      </c>
      <c r="H923">
        <v>75</v>
      </c>
      <c r="I923" t="s">
        <v>22</v>
      </c>
      <c r="J923" t="s">
        <v>27</v>
      </c>
    </row>
    <row r="924" spans="1:10" x14ac:dyDescent="0.25">
      <c r="A924" s="1">
        <v>45220</v>
      </c>
      <c r="B924" t="s">
        <v>955</v>
      </c>
      <c r="C924" t="s">
        <v>11</v>
      </c>
      <c r="D924">
        <v>41</v>
      </c>
      <c r="E924" t="s">
        <v>21</v>
      </c>
      <c r="F924">
        <v>1</v>
      </c>
      <c r="G924">
        <v>50</v>
      </c>
      <c r="H924">
        <v>50</v>
      </c>
      <c r="I924" t="s">
        <v>38</v>
      </c>
      <c r="J924" t="s">
        <v>27</v>
      </c>
    </row>
    <row r="925" spans="1:10" x14ac:dyDescent="0.25">
      <c r="A925" s="1">
        <v>45072</v>
      </c>
      <c r="B925" t="s">
        <v>956</v>
      </c>
      <c r="C925" t="s">
        <v>11</v>
      </c>
      <c r="D925">
        <v>32</v>
      </c>
      <c r="E925" t="s">
        <v>12</v>
      </c>
      <c r="F925">
        <v>3</v>
      </c>
      <c r="G925">
        <v>300</v>
      </c>
      <c r="H925">
        <v>900</v>
      </c>
      <c r="I925" t="s">
        <v>24</v>
      </c>
      <c r="J925" t="s">
        <v>14</v>
      </c>
    </row>
    <row r="926" spans="1:10" x14ac:dyDescent="0.25">
      <c r="A926" s="1">
        <v>45167</v>
      </c>
      <c r="B926" t="s">
        <v>957</v>
      </c>
      <c r="C926" t="s">
        <v>11</v>
      </c>
      <c r="D926">
        <v>55</v>
      </c>
      <c r="E926" t="s">
        <v>12</v>
      </c>
      <c r="F926">
        <v>2</v>
      </c>
      <c r="G926">
        <v>50</v>
      </c>
      <c r="H926">
        <v>100</v>
      </c>
      <c r="I926" t="s">
        <v>42</v>
      </c>
      <c r="J926" t="s">
        <v>30</v>
      </c>
    </row>
    <row r="927" spans="1:10" x14ac:dyDescent="0.25">
      <c r="A927" s="1">
        <v>45172</v>
      </c>
      <c r="B927" t="s">
        <v>958</v>
      </c>
      <c r="C927" t="s">
        <v>11</v>
      </c>
      <c r="D927">
        <v>25</v>
      </c>
      <c r="E927" t="s">
        <v>21</v>
      </c>
      <c r="F927">
        <v>1</v>
      </c>
      <c r="G927">
        <v>300</v>
      </c>
      <c r="H927">
        <v>300</v>
      </c>
      <c r="I927" t="s">
        <v>49</v>
      </c>
      <c r="J927" t="s">
        <v>25</v>
      </c>
    </row>
    <row r="928" spans="1:10" x14ac:dyDescent="0.25">
      <c r="A928" s="1">
        <v>45152</v>
      </c>
      <c r="B928" t="s">
        <v>959</v>
      </c>
      <c r="C928" t="s">
        <v>11</v>
      </c>
      <c r="D928">
        <v>22</v>
      </c>
      <c r="E928" t="s">
        <v>21</v>
      </c>
      <c r="F928">
        <v>1</v>
      </c>
      <c r="G928">
        <v>30</v>
      </c>
      <c r="H928">
        <v>30</v>
      </c>
      <c r="I928" t="s">
        <v>42</v>
      </c>
      <c r="J928" t="s">
        <v>19</v>
      </c>
    </row>
    <row r="929" spans="1:10" x14ac:dyDescent="0.25">
      <c r="A929" s="1">
        <v>45101</v>
      </c>
      <c r="B929" t="s">
        <v>960</v>
      </c>
      <c r="C929" t="s">
        <v>11</v>
      </c>
      <c r="D929">
        <v>43</v>
      </c>
      <c r="E929" t="s">
        <v>21</v>
      </c>
      <c r="F929">
        <v>4</v>
      </c>
      <c r="G929">
        <v>500</v>
      </c>
      <c r="H929">
        <v>2000</v>
      </c>
      <c r="I929" t="s">
        <v>68</v>
      </c>
      <c r="J929" t="s">
        <v>27</v>
      </c>
    </row>
    <row r="930" spans="1:10" x14ac:dyDescent="0.25">
      <c r="A930" s="1">
        <v>45021</v>
      </c>
      <c r="B930" t="s">
        <v>961</v>
      </c>
      <c r="C930" t="s">
        <v>16</v>
      </c>
      <c r="D930">
        <v>35</v>
      </c>
      <c r="E930" t="s">
        <v>17</v>
      </c>
      <c r="F930">
        <v>4</v>
      </c>
      <c r="G930">
        <v>300</v>
      </c>
      <c r="H930">
        <v>1200</v>
      </c>
      <c r="I930" t="s">
        <v>29</v>
      </c>
      <c r="J930" t="s">
        <v>34</v>
      </c>
    </row>
    <row r="931" spans="1:10" x14ac:dyDescent="0.25">
      <c r="A931" s="1">
        <v>44953</v>
      </c>
      <c r="B931" t="s">
        <v>962</v>
      </c>
      <c r="C931" t="s">
        <v>16</v>
      </c>
      <c r="D931">
        <v>23</v>
      </c>
      <c r="E931" t="s">
        <v>12</v>
      </c>
      <c r="F931">
        <v>3</v>
      </c>
      <c r="G931">
        <v>25</v>
      </c>
      <c r="H931">
        <v>75</v>
      </c>
      <c r="I931" t="s">
        <v>22</v>
      </c>
      <c r="J931" t="s">
        <v>14</v>
      </c>
    </row>
    <row r="932" spans="1:10" x14ac:dyDescent="0.25">
      <c r="A932" s="1">
        <v>45056</v>
      </c>
      <c r="B932" t="s">
        <v>963</v>
      </c>
      <c r="C932" t="s">
        <v>11</v>
      </c>
      <c r="D932">
        <v>54</v>
      </c>
      <c r="E932" t="s">
        <v>17</v>
      </c>
      <c r="F932">
        <v>4</v>
      </c>
      <c r="G932">
        <v>50</v>
      </c>
      <c r="H932">
        <v>200</v>
      </c>
      <c r="I932" t="s">
        <v>24</v>
      </c>
      <c r="J932" t="s">
        <v>34</v>
      </c>
    </row>
    <row r="933" spans="1:10" x14ac:dyDescent="0.25">
      <c r="A933" s="1">
        <v>45171</v>
      </c>
      <c r="B933" t="s">
        <v>964</v>
      </c>
      <c r="C933" t="s">
        <v>11</v>
      </c>
      <c r="D933">
        <v>30</v>
      </c>
      <c r="E933" t="s">
        <v>12</v>
      </c>
      <c r="F933">
        <v>4</v>
      </c>
      <c r="G933">
        <v>30</v>
      </c>
      <c r="H933">
        <v>120</v>
      </c>
      <c r="I933" t="s">
        <v>49</v>
      </c>
      <c r="J933" t="s">
        <v>27</v>
      </c>
    </row>
    <row r="934" spans="1:10" x14ac:dyDescent="0.25">
      <c r="A934" s="1">
        <v>44985</v>
      </c>
      <c r="B934" t="s">
        <v>965</v>
      </c>
      <c r="C934" t="s">
        <v>16</v>
      </c>
      <c r="D934">
        <v>45</v>
      </c>
      <c r="E934" t="s">
        <v>12</v>
      </c>
      <c r="F934">
        <v>4</v>
      </c>
      <c r="G934">
        <v>25</v>
      </c>
      <c r="H934">
        <v>100</v>
      </c>
      <c r="I934" t="s">
        <v>18</v>
      </c>
      <c r="J934" t="s">
        <v>30</v>
      </c>
    </row>
    <row r="935" spans="1:10" x14ac:dyDescent="0.25">
      <c r="A935" s="1">
        <v>44960</v>
      </c>
      <c r="B935" t="s">
        <v>966</v>
      </c>
      <c r="C935" t="s">
        <v>11</v>
      </c>
      <c r="D935">
        <v>22</v>
      </c>
      <c r="E935" t="s">
        <v>12</v>
      </c>
      <c r="F935">
        <v>1</v>
      </c>
      <c r="G935">
        <v>30</v>
      </c>
      <c r="H935">
        <v>30</v>
      </c>
      <c r="I935" t="s">
        <v>18</v>
      </c>
      <c r="J935" t="s">
        <v>14</v>
      </c>
    </row>
    <row r="936" spans="1:10" x14ac:dyDescent="0.25">
      <c r="A936" s="1">
        <v>45132</v>
      </c>
      <c r="B936" t="s">
        <v>967</v>
      </c>
      <c r="C936" t="s">
        <v>11</v>
      </c>
      <c r="D936">
        <v>30</v>
      </c>
      <c r="E936" t="s">
        <v>12</v>
      </c>
      <c r="F936">
        <v>1</v>
      </c>
      <c r="G936">
        <v>500</v>
      </c>
      <c r="H936">
        <v>500</v>
      </c>
      <c r="I936" t="s">
        <v>76</v>
      </c>
      <c r="J936" t="s">
        <v>30</v>
      </c>
    </row>
    <row r="937" spans="1:10" x14ac:dyDescent="0.25">
      <c r="A937" s="1">
        <v>45178</v>
      </c>
      <c r="B937" t="s">
        <v>968</v>
      </c>
      <c r="C937" t="s">
        <v>16</v>
      </c>
      <c r="D937">
        <v>34</v>
      </c>
      <c r="E937" t="s">
        <v>12</v>
      </c>
      <c r="F937">
        <v>1</v>
      </c>
      <c r="G937">
        <v>50</v>
      </c>
      <c r="H937">
        <v>50</v>
      </c>
      <c r="I937" t="s">
        <v>49</v>
      </c>
      <c r="J937" t="s">
        <v>27</v>
      </c>
    </row>
    <row r="938" spans="1:10" x14ac:dyDescent="0.25">
      <c r="A938" s="1">
        <v>44964</v>
      </c>
      <c r="B938" t="s">
        <v>969</v>
      </c>
      <c r="C938" t="s">
        <v>11</v>
      </c>
      <c r="D938">
        <v>57</v>
      </c>
      <c r="E938" t="s">
        <v>12</v>
      </c>
      <c r="F938">
        <v>4</v>
      </c>
      <c r="G938">
        <v>50</v>
      </c>
      <c r="H938">
        <v>200</v>
      </c>
      <c r="I938" t="s">
        <v>18</v>
      </c>
      <c r="J938" t="s">
        <v>30</v>
      </c>
    </row>
    <row r="939" spans="1:10" x14ac:dyDescent="0.25">
      <c r="A939" s="1">
        <v>45222</v>
      </c>
      <c r="B939" t="s">
        <v>970</v>
      </c>
      <c r="C939" t="s">
        <v>16</v>
      </c>
      <c r="D939">
        <v>62</v>
      </c>
      <c r="E939" t="s">
        <v>12</v>
      </c>
      <c r="F939">
        <v>1</v>
      </c>
      <c r="G939">
        <v>500</v>
      </c>
      <c r="H939">
        <v>500</v>
      </c>
      <c r="I939" t="s">
        <v>38</v>
      </c>
      <c r="J939" t="s">
        <v>19</v>
      </c>
    </row>
    <row r="940" spans="1:10" x14ac:dyDescent="0.25">
      <c r="A940" s="1">
        <v>45249</v>
      </c>
      <c r="B940" t="s">
        <v>971</v>
      </c>
      <c r="C940" t="s">
        <v>11</v>
      </c>
      <c r="D940">
        <v>49</v>
      </c>
      <c r="E940" t="s">
        <v>17</v>
      </c>
      <c r="F940">
        <v>4</v>
      </c>
      <c r="G940">
        <v>50</v>
      </c>
      <c r="H940">
        <v>200</v>
      </c>
      <c r="I940" t="s">
        <v>13</v>
      </c>
      <c r="J940" t="s">
        <v>25</v>
      </c>
    </row>
    <row r="941" spans="1:10" x14ac:dyDescent="0.25">
      <c r="A941" s="1">
        <v>45278</v>
      </c>
      <c r="B941" t="s">
        <v>972</v>
      </c>
      <c r="C941" t="s">
        <v>16</v>
      </c>
      <c r="D941">
        <v>46</v>
      </c>
      <c r="E941" t="s">
        <v>21</v>
      </c>
      <c r="F941">
        <v>1</v>
      </c>
      <c r="G941">
        <v>300</v>
      </c>
      <c r="H941">
        <v>300</v>
      </c>
      <c r="I941" t="s">
        <v>36</v>
      </c>
      <c r="J941" t="s">
        <v>19</v>
      </c>
    </row>
    <row r="942" spans="1:10" x14ac:dyDescent="0.25">
      <c r="A942" s="1">
        <v>44954</v>
      </c>
      <c r="B942" t="s">
        <v>973</v>
      </c>
      <c r="C942" t="s">
        <v>16</v>
      </c>
      <c r="D942">
        <v>20</v>
      </c>
      <c r="E942" t="s">
        <v>21</v>
      </c>
      <c r="F942">
        <v>1</v>
      </c>
      <c r="G942">
        <v>30</v>
      </c>
      <c r="H942">
        <v>30</v>
      </c>
      <c r="I942" t="s">
        <v>22</v>
      </c>
      <c r="J942" t="s">
        <v>27</v>
      </c>
    </row>
    <row r="943" spans="1:10" x14ac:dyDescent="0.25">
      <c r="A943" s="1">
        <v>45004</v>
      </c>
      <c r="B943" t="s">
        <v>974</v>
      </c>
      <c r="C943" t="s">
        <v>16</v>
      </c>
      <c r="D943">
        <v>57</v>
      </c>
      <c r="E943" t="s">
        <v>17</v>
      </c>
      <c r="F943">
        <v>2</v>
      </c>
      <c r="G943">
        <v>25</v>
      </c>
      <c r="H943">
        <v>50</v>
      </c>
      <c r="I943" t="s">
        <v>32</v>
      </c>
      <c r="J943" t="s">
        <v>25</v>
      </c>
    </row>
    <row r="944" spans="1:10" x14ac:dyDescent="0.25">
      <c r="A944" s="1">
        <v>45003</v>
      </c>
      <c r="B944" t="s">
        <v>975</v>
      </c>
      <c r="C944" t="s">
        <v>11</v>
      </c>
      <c r="D944">
        <v>51</v>
      </c>
      <c r="E944" t="s">
        <v>17</v>
      </c>
      <c r="F944">
        <v>3</v>
      </c>
      <c r="G944">
        <v>500</v>
      </c>
      <c r="H944">
        <v>1500</v>
      </c>
      <c r="I944" t="s">
        <v>32</v>
      </c>
      <c r="J944" t="s">
        <v>27</v>
      </c>
    </row>
    <row r="945" spans="1:10" x14ac:dyDescent="0.25">
      <c r="A945" s="1">
        <v>45215</v>
      </c>
      <c r="B945" t="s">
        <v>976</v>
      </c>
      <c r="C945" t="s">
        <v>16</v>
      </c>
      <c r="D945">
        <v>57</v>
      </c>
      <c r="E945" t="s">
        <v>17</v>
      </c>
      <c r="F945">
        <v>4</v>
      </c>
      <c r="G945">
        <v>300</v>
      </c>
      <c r="H945">
        <v>1200</v>
      </c>
      <c r="I945" t="s">
        <v>38</v>
      </c>
      <c r="J945" t="s">
        <v>19</v>
      </c>
    </row>
    <row r="946" spans="1:10" x14ac:dyDescent="0.25">
      <c r="A946" s="1">
        <v>45082</v>
      </c>
      <c r="B946" t="s">
        <v>977</v>
      </c>
      <c r="C946" t="s">
        <v>11</v>
      </c>
      <c r="D946">
        <v>44</v>
      </c>
      <c r="E946" t="s">
        <v>17</v>
      </c>
      <c r="F946">
        <v>2</v>
      </c>
      <c r="G946">
        <v>25</v>
      </c>
      <c r="H946">
        <v>50</v>
      </c>
      <c r="I946" t="s">
        <v>68</v>
      </c>
      <c r="J946" t="s">
        <v>19</v>
      </c>
    </row>
    <row r="947" spans="1:10" x14ac:dyDescent="0.25">
      <c r="A947" s="1">
        <v>44970</v>
      </c>
      <c r="B947" t="s">
        <v>978</v>
      </c>
      <c r="C947" t="s">
        <v>11</v>
      </c>
      <c r="D947">
        <v>30</v>
      </c>
      <c r="E947" t="s">
        <v>12</v>
      </c>
      <c r="F947">
        <v>1</v>
      </c>
      <c r="G947">
        <v>25</v>
      </c>
      <c r="H947">
        <v>25</v>
      </c>
      <c r="I947" t="s">
        <v>18</v>
      </c>
      <c r="J947" t="s">
        <v>19</v>
      </c>
    </row>
    <row r="948" spans="1:10" x14ac:dyDescent="0.25">
      <c r="A948" s="1">
        <v>45054</v>
      </c>
      <c r="B948" t="s">
        <v>979</v>
      </c>
      <c r="C948" t="s">
        <v>11</v>
      </c>
      <c r="D948">
        <v>62</v>
      </c>
      <c r="E948" t="s">
        <v>21</v>
      </c>
      <c r="F948">
        <v>4</v>
      </c>
      <c r="G948">
        <v>500</v>
      </c>
      <c r="H948">
        <v>2000</v>
      </c>
      <c r="I948" t="s">
        <v>24</v>
      </c>
      <c r="J948" t="s">
        <v>19</v>
      </c>
    </row>
    <row r="949" spans="1:10" x14ac:dyDescent="0.25">
      <c r="A949" s="1">
        <v>44987</v>
      </c>
      <c r="B949" t="s">
        <v>980</v>
      </c>
      <c r="C949" t="s">
        <v>11</v>
      </c>
      <c r="D949">
        <v>50</v>
      </c>
      <c r="E949" t="s">
        <v>12</v>
      </c>
      <c r="F949">
        <v>1</v>
      </c>
      <c r="G949">
        <v>300</v>
      </c>
      <c r="H949">
        <v>300</v>
      </c>
      <c r="I949" t="s">
        <v>32</v>
      </c>
      <c r="J949" t="s">
        <v>58</v>
      </c>
    </row>
    <row r="950" spans="1:10" x14ac:dyDescent="0.25">
      <c r="A950" s="1">
        <v>45212</v>
      </c>
      <c r="B950" t="s">
        <v>981</v>
      </c>
      <c r="C950" t="s">
        <v>16</v>
      </c>
      <c r="D950">
        <v>23</v>
      </c>
      <c r="E950" t="s">
        <v>21</v>
      </c>
      <c r="F950">
        <v>3</v>
      </c>
      <c r="G950">
        <v>25</v>
      </c>
      <c r="H950">
        <v>75</v>
      </c>
      <c r="I950" t="s">
        <v>38</v>
      </c>
      <c r="J950" t="s">
        <v>14</v>
      </c>
    </row>
    <row r="951" spans="1:10" x14ac:dyDescent="0.25">
      <c r="A951" s="1">
        <v>45140</v>
      </c>
      <c r="B951" t="s">
        <v>982</v>
      </c>
      <c r="C951" t="s">
        <v>16</v>
      </c>
      <c r="D951">
        <v>41</v>
      </c>
      <c r="E951" t="s">
        <v>21</v>
      </c>
      <c r="F951">
        <v>2</v>
      </c>
      <c r="G951">
        <v>25</v>
      </c>
      <c r="H951">
        <v>50</v>
      </c>
      <c r="I951" t="s">
        <v>42</v>
      </c>
      <c r="J951" t="s">
        <v>34</v>
      </c>
    </row>
    <row r="952" spans="1:10" x14ac:dyDescent="0.25">
      <c r="A952" s="1">
        <v>45237</v>
      </c>
      <c r="B952" t="s">
        <v>983</v>
      </c>
      <c r="C952" t="s">
        <v>11</v>
      </c>
      <c r="D952">
        <v>36</v>
      </c>
      <c r="E952" t="s">
        <v>17</v>
      </c>
      <c r="F952">
        <v>3</v>
      </c>
      <c r="G952">
        <v>300</v>
      </c>
      <c r="H952">
        <v>900</v>
      </c>
      <c r="I952" t="s">
        <v>13</v>
      </c>
      <c r="J952" t="s">
        <v>30</v>
      </c>
    </row>
    <row r="953" spans="1:10" x14ac:dyDescent="0.25">
      <c r="A953" s="1">
        <v>45232</v>
      </c>
      <c r="B953" t="s">
        <v>984</v>
      </c>
      <c r="C953" t="s">
        <v>11</v>
      </c>
      <c r="D953">
        <v>33</v>
      </c>
      <c r="E953" t="s">
        <v>12</v>
      </c>
      <c r="F953">
        <v>2</v>
      </c>
      <c r="G953">
        <v>50</v>
      </c>
      <c r="H953">
        <v>100</v>
      </c>
      <c r="I953" t="s">
        <v>13</v>
      </c>
      <c r="J953" t="s">
        <v>58</v>
      </c>
    </row>
    <row r="954" spans="1:10" x14ac:dyDescent="0.25">
      <c r="A954" s="1">
        <v>45243</v>
      </c>
      <c r="B954" t="s">
        <v>985</v>
      </c>
      <c r="C954" t="s">
        <v>16</v>
      </c>
      <c r="D954">
        <v>57</v>
      </c>
      <c r="E954" t="s">
        <v>17</v>
      </c>
      <c r="F954">
        <v>1</v>
      </c>
      <c r="G954">
        <v>25</v>
      </c>
      <c r="H954">
        <v>25</v>
      </c>
      <c r="I954" t="s">
        <v>13</v>
      </c>
      <c r="J954" t="s">
        <v>19</v>
      </c>
    </row>
    <row r="955" spans="1:10" x14ac:dyDescent="0.25">
      <c r="A955" s="1">
        <v>45042</v>
      </c>
      <c r="B955" t="s">
        <v>986</v>
      </c>
      <c r="C955" t="s">
        <v>11</v>
      </c>
      <c r="D955">
        <v>45</v>
      </c>
      <c r="E955" t="s">
        <v>12</v>
      </c>
      <c r="F955">
        <v>3</v>
      </c>
      <c r="G955">
        <v>30</v>
      </c>
      <c r="H955">
        <v>90</v>
      </c>
      <c r="I955" t="s">
        <v>29</v>
      </c>
      <c r="J955" t="s">
        <v>34</v>
      </c>
    </row>
    <row r="956" spans="1:10" x14ac:dyDescent="0.25">
      <c r="A956" s="1">
        <v>45194</v>
      </c>
      <c r="B956" t="s">
        <v>987</v>
      </c>
      <c r="C956" t="s">
        <v>16</v>
      </c>
      <c r="D956">
        <v>50</v>
      </c>
      <c r="E956" t="s">
        <v>21</v>
      </c>
      <c r="F956">
        <v>3</v>
      </c>
      <c r="G956">
        <v>300</v>
      </c>
      <c r="H956">
        <v>900</v>
      </c>
      <c r="I956" t="s">
        <v>49</v>
      </c>
      <c r="J956" t="s">
        <v>19</v>
      </c>
    </row>
    <row r="957" spans="1:10" x14ac:dyDescent="0.25">
      <c r="A957" s="1">
        <v>45121</v>
      </c>
      <c r="B957" t="s">
        <v>988</v>
      </c>
      <c r="C957" t="s">
        <v>11</v>
      </c>
      <c r="D957">
        <v>58</v>
      </c>
      <c r="E957" t="s">
        <v>17</v>
      </c>
      <c r="F957">
        <v>1</v>
      </c>
      <c r="G957">
        <v>25</v>
      </c>
      <c r="H957">
        <v>25</v>
      </c>
      <c r="I957" t="s">
        <v>76</v>
      </c>
      <c r="J957" t="s">
        <v>14</v>
      </c>
    </row>
    <row r="958" spans="1:10" x14ac:dyDescent="0.25">
      <c r="A958" s="1">
        <v>45157</v>
      </c>
      <c r="B958" t="s">
        <v>989</v>
      </c>
      <c r="C958" t="s">
        <v>11</v>
      </c>
      <c r="D958">
        <v>30</v>
      </c>
      <c r="E958" t="s">
        <v>17</v>
      </c>
      <c r="F958">
        <v>3</v>
      </c>
      <c r="G958">
        <v>500</v>
      </c>
      <c r="H958">
        <v>1500</v>
      </c>
      <c r="I958" t="s">
        <v>42</v>
      </c>
      <c r="J958" t="s">
        <v>27</v>
      </c>
    </row>
    <row r="959" spans="1:10" x14ac:dyDescent="0.25">
      <c r="A959" s="1">
        <v>45153</v>
      </c>
      <c r="B959" t="s">
        <v>990</v>
      </c>
      <c r="C959" t="s">
        <v>16</v>
      </c>
      <c r="D959">
        <v>60</v>
      </c>
      <c r="E959" t="s">
        <v>21</v>
      </c>
      <c r="F959">
        <v>4</v>
      </c>
      <c r="G959">
        <v>30</v>
      </c>
      <c r="H959">
        <v>120</v>
      </c>
      <c r="I959" t="s">
        <v>42</v>
      </c>
      <c r="J959" t="s">
        <v>30</v>
      </c>
    </row>
    <row r="960" spans="1:10" x14ac:dyDescent="0.25">
      <c r="A960" s="1">
        <v>45079</v>
      </c>
      <c r="B960" t="s">
        <v>991</v>
      </c>
      <c r="C960" t="s">
        <v>11</v>
      </c>
      <c r="D960">
        <v>62</v>
      </c>
      <c r="E960" t="s">
        <v>21</v>
      </c>
      <c r="F960">
        <v>2</v>
      </c>
      <c r="G960">
        <v>25</v>
      </c>
      <c r="H960">
        <v>50</v>
      </c>
      <c r="I960" t="s">
        <v>68</v>
      </c>
      <c r="J960" t="s">
        <v>14</v>
      </c>
    </row>
    <row r="961" spans="1:10" x14ac:dyDescent="0.25">
      <c r="A961" s="1">
        <v>45228</v>
      </c>
      <c r="B961" t="s">
        <v>992</v>
      </c>
      <c r="C961" t="s">
        <v>16</v>
      </c>
      <c r="D961">
        <v>42</v>
      </c>
      <c r="E961" t="s">
        <v>21</v>
      </c>
      <c r="F961">
        <v>2</v>
      </c>
      <c r="G961">
        <v>30</v>
      </c>
      <c r="H961">
        <v>60</v>
      </c>
      <c r="I961" t="s">
        <v>38</v>
      </c>
      <c r="J961" t="s">
        <v>25</v>
      </c>
    </row>
    <row r="962" spans="1:10" x14ac:dyDescent="0.25">
      <c r="A962" s="1">
        <v>45146</v>
      </c>
      <c r="B962" t="s">
        <v>993</v>
      </c>
      <c r="C962" t="s">
        <v>11</v>
      </c>
      <c r="D962">
        <v>59</v>
      </c>
      <c r="E962" t="s">
        <v>17</v>
      </c>
      <c r="F962">
        <v>2</v>
      </c>
      <c r="G962">
        <v>30</v>
      </c>
      <c r="H962">
        <v>60</v>
      </c>
      <c r="I962" t="s">
        <v>42</v>
      </c>
      <c r="J962" t="s">
        <v>30</v>
      </c>
    </row>
    <row r="963" spans="1:10" x14ac:dyDescent="0.25">
      <c r="A963" s="1">
        <v>45083</v>
      </c>
      <c r="B963" t="s">
        <v>994</v>
      </c>
      <c r="C963" t="s">
        <v>11</v>
      </c>
      <c r="D963">
        <v>53</v>
      </c>
      <c r="E963" t="s">
        <v>12</v>
      </c>
      <c r="F963">
        <v>4</v>
      </c>
      <c r="G963">
        <v>50</v>
      </c>
      <c r="H963">
        <v>200</v>
      </c>
      <c r="I963" t="s">
        <v>68</v>
      </c>
      <c r="J963" t="s">
        <v>30</v>
      </c>
    </row>
    <row r="964" spans="1:10" x14ac:dyDescent="0.25">
      <c r="A964" s="1">
        <v>45218</v>
      </c>
      <c r="B964" t="s">
        <v>995</v>
      </c>
      <c r="C964" t="s">
        <v>11</v>
      </c>
      <c r="D964">
        <v>44</v>
      </c>
      <c r="E964" t="s">
        <v>17</v>
      </c>
      <c r="F964">
        <v>2</v>
      </c>
      <c r="G964">
        <v>30</v>
      </c>
      <c r="H964">
        <v>60</v>
      </c>
      <c r="I964" t="s">
        <v>38</v>
      </c>
      <c r="J964" t="s">
        <v>58</v>
      </c>
    </row>
    <row r="965" spans="1:10" x14ac:dyDescent="0.25">
      <c r="A965" s="1">
        <v>45244</v>
      </c>
      <c r="B965" t="s">
        <v>996</v>
      </c>
      <c r="C965" t="s">
        <v>16</v>
      </c>
      <c r="D965">
        <v>55</v>
      </c>
      <c r="E965" t="s">
        <v>12</v>
      </c>
      <c r="F965">
        <v>1</v>
      </c>
      <c r="G965">
        <v>50</v>
      </c>
      <c r="H965">
        <v>50</v>
      </c>
      <c r="I965" t="s">
        <v>13</v>
      </c>
      <c r="J965" t="s">
        <v>30</v>
      </c>
    </row>
    <row r="966" spans="1:10" x14ac:dyDescent="0.25">
      <c r="A966" s="1">
        <v>44957</v>
      </c>
      <c r="B966" t="s">
        <v>997</v>
      </c>
      <c r="C966" t="s">
        <v>11</v>
      </c>
      <c r="D966">
        <v>24</v>
      </c>
      <c r="E966" t="s">
        <v>17</v>
      </c>
      <c r="F966">
        <v>3</v>
      </c>
      <c r="G966">
        <v>300</v>
      </c>
      <c r="H966">
        <v>900</v>
      </c>
      <c r="I966" t="s">
        <v>22</v>
      </c>
      <c r="J966" t="s">
        <v>30</v>
      </c>
    </row>
    <row r="967" spans="1:10" x14ac:dyDescent="0.25">
      <c r="A967" s="1">
        <v>45239</v>
      </c>
      <c r="B967" t="s">
        <v>998</v>
      </c>
      <c r="C967" t="s">
        <v>11</v>
      </c>
      <c r="D967">
        <v>22</v>
      </c>
      <c r="E967" t="s">
        <v>17</v>
      </c>
      <c r="F967">
        <v>4</v>
      </c>
      <c r="G967">
        <v>50</v>
      </c>
      <c r="H967">
        <v>200</v>
      </c>
      <c r="I967" t="s">
        <v>13</v>
      </c>
      <c r="J967" t="s">
        <v>58</v>
      </c>
    </row>
    <row r="968" spans="1:10" x14ac:dyDescent="0.25">
      <c r="A968" s="1">
        <v>44977</v>
      </c>
      <c r="B968" t="s">
        <v>999</v>
      </c>
      <c r="C968" t="s">
        <v>11</v>
      </c>
      <c r="D968">
        <v>60</v>
      </c>
      <c r="E968" t="s">
        <v>21</v>
      </c>
      <c r="F968">
        <v>2</v>
      </c>
      <c r="G968">
        <v>500</v>
      </c>
      <c r="H968">
        <v>1000</v>
      </c>
      <c r="I968" t="s">
        <v>18</v>
      </c>
      <c r="J968" t="s">
        <v>19</v>
      </c>
    </row>
    <row r="969" spans="1:10" x14ac:dyDescent="0.25">
      <c r="A969" s="1">
        <v>45033</v>
      </c>
      <c r="B969" t="s">
        <v>1000</v>
      </c>
      <c r="C969" t="s">
        <v>11</v>
      </c>
      <c r="D969">
        <v>62</v>
      </c>
      <c r="E969" t="s">
        <v>12</v>
      </c>
      <c r="F969">
        <v>1</v>
      </c>
      <c r="G969">
        <v>25</v>
      </c>
      <c r="H969">
        <v>25</v>
      </c>
      <c r="I969" t="s">
        <v>29</v>
      </c>
      <c r="J969" t="s">
        <v>19</v>
      </c>
    </row>
    <row r="970" spans="1:10" x14ac:dyDescent="0.25">
      <c r="A970" s="1">
        <v>45247</v>
      </c>
      <c r="B970" t="s">
        <v>1001</v>
      </c>
      <c r="C970" t="s">
        <v>16</v>
      </c>
      <c r="D970">
        <v>48</v>
      </c>
      <c r="E970" t="s">
        <v>17</v>
      </c>
      <c r="F970">
        <v>3</v>
      </c>
      <c r="G970">
        <v>300</v>
      </c>
      <c r="H970">
        <v>900</v>
      </c>
      <c r="I970" t="s">
        <v>13</v>
      </c>
      <c r="J970" t="s">
        <v>14</v>
      </c>
    </row>
    <row r="971" spans="1:10" x14ac:dyDescent="0.25">
      <c r="A971" s="1">
        <v>45035</v>
      </c>
      <c r="B971" t="s">
        <v>1002</v>
      </c>
      <c r="C971" t="s">
        <v>16</v>
      </c>
      <c r="D971">
        <v>40</v>
      </c>
      <c r="E971" t="s">
        <v>17</v>
      </c>
      <c r="F971">
        <v>3</v>
      </c>
      <c r="G971">
        <v>300</v>
      </c>
      <c r="H971">
        <v>900</v>
      </c>
      <c r="I971" t="s">
        <v>29</v>
      </c>
      <c r="J971" t="s">
        <v>34</v>
      </c>
    </row>
    <row r="972" spans="1:10" x14ac:dyDescent="0.25">
      <c r="A972" s="1">
        <v>45062</v>
      </c>
      <c r="B972" t="s">
        <v>1003</v>
      </c>
      <c r="C972" t="s">
        <v>11</v>
      </c>
      <c r="D972">
        <v>59</v>
      </c>
      <c r="E972" t="s">
        <v>21</v>
      </c>
      <c r="F972">
        <v>4</v>
      </c>
      <c r="G972">
        <v>500</v>
      </c>
      <c r="H972">
        <v>2000</v>
      </c>
      <c r="I972" t="s">
        <v>24</v>
      </c>
      <c r="J972" t="s">
        <v>30</v>
      </c>
    </row>
    <row r="973" spans="1:10" x14ac:dyDescent="0.25">
      <c r="A973" s="1">
        <v>45265</v>
      </c>
      <c r="B973" t="s">
        <v>1004</v>
      </c>
      <c r="C973" t="s">
        <v>16</v>
      </c>
      <c r="D973">
        <v>27</v>
      </c>
      <c r="E973" t="s">
        <v>21</v>
      </c>
      <c r="F973">
        <v>4</v>
      </c>
      <c r="G973">
        <v>50</v>
      </c>
      <c r="H973">
        <v>200</v>
      </c>
      <c r="I973" t="s">
        <v>36</v>
      </c>
      <c r="J973" t="s">
        <v>30</v>
      </c>
    </row>
    <row r="974" spans="1:10" x14ac:dyDescent="0.25">
      <c r="A974" s="1">
        <v>44968</v>
      </c>
      <c r="B974" t="s">
        <v>1005</v>
      </c>
      <c r="C974" t="s">
        <v>11</v>
      </c>
      <c r="D974">
        <v>49</v>
      </c>
      <c r="E974" t="s">
        <v>12</v>
      </c>
      <c r="F974">
        <v>4</v>
      </c>
      <c r="G974">
        <v>25</v>
      </c>
      <c r="H974">
        <v>100</v>
      </c>
      <c r="I974" t="s">
        <v>18</v>
      </c>
      <c r="J974" t="s">
        <v>27</v>
      </c>
    </row>
    <row r="975" spans="1:10" x14ac:dyDescent="0.25">
      <c r="A975" s="1">
        <v>45007</v>
      </c>
      <c r="B975" t="s">
        <v>1006</v>
      </c>
      <c r="C975" t="s">
        <v>11</v>
      </c>
      <c r="D975">
        <v>60</v>
      </c>
      <c r="E975" t="s">
        <v>17</v>
      </c>
      <c r="F975">
        <v>1</v>
      </c>
      <c r="G975">
        <v>50</v>
      </c>
      <c r="H975">
        <v>50</v>
      </c>
      <c r="I975" t="s">
        <v>32</v>
      </c>
      <c r="J975" t="s">
        <v>34</v>
      </c>
    </row>
    <row r="976" spans="1:10" x14ac:dyDescent="0.25">
      <c r="A976" s="1">
        <v>45049</v>
      </c>
      <c r="B976" t="s">
        <v>1007</v>
      </c>
      <c r="C976" t="s">
        <v>11</v>
      </c>
      <c r="D976">
        <v>47</v>
      </c>
      <c r="E976" t="s">
        <v>12</v>
      </c>
      <c r="F976">
        <v>1</v>
      </c>
      <c r="G976">
        <v>30</v>
      </c>
      <c r="H976">
        <v>30</v>
      </c>
      <c r="I976" t="s">
        <v>24</v>
      </c>
      <c r="J976" t="s">
        <v>34</v>
      </c>
    </row>
    <row r="977" spans="1:10" x14ac:dyDescent="0.25">
      <c r="A977" s="1">
        <v>45015</v>
      </c>
      <c r="B977" t="s">
        <v>1008</v>
      </c>
      <c r="C977" t="s">
        <v>16</v>
      </c>
      <c r="D977">
        <v>56</v>
      </c>
      <c r="E977" t="s">
        <v>17</v>
      </c>
      <c r="F977">
        <v>4</v>
      </c>
      <c r="G977">
        <v>50</v>
      </c>
      <c r="H977">
        <v>200</v>
      </c>
      <c r="I977" t="s">
        <v>32</v>
      </c>
      <c r="J977" t="s">
        <v>58</v>
      </c>
    </row>
    <row r="978" spans="1:10" x14ac:dyDescent="0.25">
      <c r="A978" s="1">
        <v>45209</v>
      </c>
      <c r="B978" t="s">
        <v>1009</v>
      </c>
      <c r="C978" t="s">
        <v>16</v>
      </c>
      <c r="D978">
        <v>48</v>
      </c>
      <c r="E978" t="s">
        <v>12</v>
      </c>
      <c r="F978">
        <v>2</v>
      </c>
      <c r="G978">
        <v>300</v>
      </c>
      <c r="H978">
        <v>600</v>
      </c>
      <c r="I978" t="s">
        <v>38</v>
      </c>
      <c r="J978" t="s">
        <v>30</v>
      </c>
    </row>
    <row r="979" spans="1:10" x14ac:dyDescent="0.25">
      <c r="A979" s="1">
        <v>44965</v>
      </c>
      <c r="B979" t="s">
        <v>1010</v>
      </c>
      <c r="C979" t="s">
        <v>16</v>
      </c>
      <c r="D979">
        <v>35</v>
      </c>
      <c r="E979" t="s">
        <v>21</v>
      </c>
      <c r="F979">
        <v>3</v>
      </c>
      <c r="G979">
        <v>25</v>
      </c>
      <c r="H979">
        <v>75</v>
      </c>
      <c r="I979" t="s">
        <v>18</v>
      </c>
      <c r="J979" t="s">
        <v>34</v>
      </c>
    </row>
    <row r="980" spans="1:10" x14ac:dyDescent="0.25">
      <c r="A980" s="1">
        <v>45007</v>
      </c>
      <c r="B980" t="s">
        <v>1011</v>
      </c>
      <c r="C980" t="s">
        <v>16</v>
      </c>
      <c r="D980">
        <v>53</v>
      </c>
      <c r="E980" t="s">
        <v>17</v>
      </c>
      <c r="F980">
        <v>3</v>
      </c>
      <c r="G980">
        <v>50</v>
      </c>
      <c r="H980">
        <v>150</v>
      </c>
      <c r="I980" t="s">
        <v>32</v>
      </c>
      <c r="J980" t="s">
        <v>34</v>
      </c>
    </row>
    <row r="981" spans="1:10" x14ac:dyDescent="0.25">
      <c r="A981" s="1">
        <v>44928</v>
      </c>
      <c r="B981" t="s">
        <v>1012</v>
      </c>
      <c r="C981" t="s">
        <v>16</v>
      </c>
      <c r="D981">
        <v>19</v>
      </c>
      <c r="E981" t="s">
        <v>12</v>
      </c>
      <c r="F981">
        <v>1</v>
      </c>
      <c r="G981">
        <v>25</v>
      </c>
      <c r="H981">
        <v>25</v>
      </c>
      <c r="I981" t="s">
        <v>22</v>
      </c>
      <c r="J981" t="s">
        <v>19</v>
      </c>
    </row>
    <row r="982" spans="1:10" x14ac:dyDescent="0.25">
      <c r="A982" s="1">
        <v>45136</v>
      </c>
      <c r="B982" t="s">
        <v>1013</v>
      </c>
      <c r="C982" t="s">
        <v>16</v>
      </c>
      <c r="D982">
        <v>31</v>
      </c>
      <c r="E982" t="s">
        <v>21</v>
      </c>
      <c r="F982">
        <v>3</v>
      </c>
      <c r="G982">
        <v>25</v>
      </c>
      <c r="H982">
        <v>75</v>
      </c>
      <c r="I982" t="s">
        <v>76</v>
      </c>
      <c r="J982" t="s">
        <v>27</v>
      </c>
    </row>
    <row r="983" spans="1:10" x14ac:dyDescent="0.25">
      <c r="A983" s="1">
        <v>45157</v>
      </c>
      <c r="B983" t="s">
        <v>1014</v>
      </c>
      <c r="C983" t="s">
        <v>16</v>
      </c>
      <c r="D983">
        <v>30</v>
      </c>
      <c r="E983" t="s">
        <v>21</v>
      </c>
      <c r="F983">
        <v>2</v>
      </c>
      <c r="G983">
        <v>30</v>
      </c>
      <c r="H983">
        <v>60</v>
      </c>
      <c r="I983" t="s">
        <v>42</v>
      </c>
      <c r="J983" t="s">
        <v>27</v>
      </c>
    </row>
    <row r="984" spans="1:10" x14ac:dyDescent="0.25">
      <c r="A984" s="1">
        <v>45279</v>
      </c>
      <c r="B984" t="s">
        <v>1015</v>
      </c>
      <c r="C984" t="s">
        <v>16</v>
      </c>
      <c r="D984">
        <v>46</v>
      </c>
      <c r="E984" t="s">
        <v>12</v>
      </c>
      <c r="F984">
        <v>3</v>
      </c>
      <c r="G984">
        <v>30</v>
      </c>
      <c r="H984">
        <v>90</v>
      </c>
      <c r="I984" t="s">
        <v>36</v>
      </c>
      <c r="J984" t="s">
        <v>30</v>
      </c>
    </row>
    <row r="985" spans="1:10" x14ac:dyDescent="0.25">
      <c r="A985" s="1">
        <v>45231</v>
      </c>
      <c r="B985" t="s">
        <v>1016</v>
      </c>
      <c r="C985" t="s">
        <v>16</v>
      </c>
      <c r="D985">
        <v>29</v>
      </c>
      <c r="E985" t="s">
        <v>17</v>
      </c>
      <c r="F985">
        <v>1</v>
      </c>
      <c r="G985">
        <v>300</v>
      </c>
      <c r="H985">
        <v>300</v>
      </c>
      <c r="I985" t="s">
        <v>13</v>
      </c>
      <c r="J985" t="s">
        <v>34</v>
      </c>
    </row>
    <row r="986" spans="1:10" x14ac:dyDescent="0.25">
      <c r="A986" s="1">
        <v>45167</v>
      </c>
      <c r="B986" t="s">
        <v>1017</v>
      </c>
      <c r="C986" t="s">
        <v>11</v>
      </c>
      <c r="D986">
        <v>56</v>
      </c>
      <c r="E986" t="s">
        <v>17</v>
      </c>
      <c r="F986">
        <v>1</v>
      </c>
      <c r="G986">
        <v>500</v>
      </c>
      <c r="H986">
        <v>500</v>
      </c>
      <c r="I986" t="s">
        <v>42</v>
      </c>
      <c r="J986" t="s">
        <v>30</v>
      </c>
    </row>
    <row r="987" spans="1:10" x14ac:dyDescent="0.25">
      <c r="A987" s="1">
        <v>45076</v>
      </c>
      <c r="B987" t="s">
        <v>1018</v>
      </c>
      <c r="C987" t="s">
        <v>16</v>
      </c>
      <c r="D987">
        <v>19</v>
      </c>
      <c r="E987" t="s">
        <v>21</v>
      </c>
      <c r="F987">
        <v>2</v>
      </c>
      <c r="G987">
        <v>25</v>
      </c>
      <c r="H987">
        <v>50</v>
      </c>
      <c r="I987" t="s">
        <v>24</v>
      </c>
      <c r="J987" t="s">
        <v>30</v>
      </c>
    </row>
    <row r="988" spans="1:10" x14ac:dyDescent="0.25">
      <c r="A988" s="1">
        <v>44943</v>
      </c>
      <c r="B988" t="s">
        <v>1019</v>
      </c>
      <c r="C988" t="s">
        <v>16</v>
      </c>
      <c r="D988">
        <v>49</v>
      </c>
      <c r="E988" t="s">
        <v>17</v>
      </c>
      <c r="F988">
        <v>2</v>
      </c>
      <c r="G988">
        <v>500</v>
      </c>
      <c r="H988">
        <v>1000</v>
      </c>
      <c r="I988" t="s">
        <v>22</v>
      </c>
      <c r="J988" t="s">
        <v>30</v>
      </c>
    </row>
    <row r="989" spans="1:10" x14ac:dyDescent="0.25">
      <c r="A989" s="1">
        <v>45045</v>
      </c>
      <c r="B989" t="s">
        <v>1020</v>
      </c>
      <c r="C989" t="s">
        <v>16</v>
      </c>
      <c r="D989">
        <v>30</v>
      </c>
      <c r="E989" t="s">
        <v>17</v>
      </c>
      <c r="F989">
        <v>3</v>
      </c>
      <c r="G989">
        <v>300</v>
      </c>
      <c r="H989">
        <v>900</v>
      </c>
      <c r="I989" t="s">
        <v>29</v>
      </c>
      <c r="J989" t="s">
        <v>27</v>
      </c>
    </row>
    <row r="990" spans="1:10" x14ac:dyDescent="0.25">
      <c r="A990" s="1">
        <v>45074</v>
      </c>
      <c r="B990" t="s">
        <v>1021</v>
      </c>
      <c r="C990" t="s">
        <v>16</v>
      </c>
      <c r="D990">
        <v>63</v>
      </c>
      <c r="E990" t="s">
        <v>17</v>
      </c>
      <c r="F990">
        <v>3</v>
      </c>
      <c r="G990">
        <v>25</v>
      </c>
      <c r="H990">
        <v>75</v>
      </c>
      <c r="I990" t="s">
        <v>24</v>
      </c>
      <c r="J990" t="s">
        <v>25</v>
      </c>
    </row>
    <row r="991" spans="1:10" x14ac:dyDescent="0.25">
      <c r="A991" s="1">
        <v>45288</v>
      </c>
      <c r="B991" t="s">
        <v>1022</v>
      </c>
      <c r="C991" t="s">
        <v>16</v>
      </c>
      <c r="D991">
        <v>44</v>
      </c>
      <c r="E991" t="s">
        <v>21</v>
      </c>
      <c r="F991">
        <v>1</v>
      </c>
      <c r="G991">
        <v>25</v>
      </c>
      <c r="H991">
        <v>25</v>
      </c>
      <c r="I991" t="s">
        <v>36</v>
      </c>
      <c r="J991" t="s">
        <v>58</v>
      </c>
    </row>
    <row r="992" spans="1:10" x14ac:dyDescent="0.25">
      <c r="A992" s="1">
        <v>45071</v>
      </c>
      <c r="B992" t="s">
        <v>1023</v>
      </c>
      <c r="C992" t="s">
        <v>16</v>
      </c>
      <c r="D992">
        <v>58</v>
      </c>
      <c r="E992" t="s">
        <v>12</v>
      </c>
      <c r="F992">
        <v>2</v>
      </c>
      <c r="G992">
        <v>500</v>
      </c>
      <c r="H992">
        <v>1000</v>
      </c>
      <c r="I992" t="s">
        <v>24</v>
      </c>
      <c r="J992" t="s">
        <v>58</v>
      </c>
    </row>
    <row r="993" spans="1:10" x14ac:dyDescent="0.25">
      <c r="A993" s="1">
        <v>45286</v>
      </c>
      <c r="B993" t="s">
        <v>1024</v>
      </c>
      <c r="C993" t="s">
        <v>16</v>
      </c>
      <c r="D993">
        <v>34</v>
      </c>
      <c r="E993" t="s">
        <v>17</v>
      </c>
      <c r="F993">
        <v>2</v>
      </c>
      <c r="G993">
        <v>50</v>
      </c>
      <c r="H993">
        <v>100</v>
      </c>
      <c r="I993" t="s">
        <v>36</v>
      </c>
      <c r="J993" t="s">
        <v>30</v>
      </c>
    </row>
    <row r="994" spans="1:10" x14ac:dyDescent="0.25">
      <c r="A994" s="1">
        <v>45159</v>
      </c>
      <c r="B994" t="s">
        <v>1025</v>
      </c>
      <c r="C994" t="s">
        <v>16</v>
      </c>
      <c r="D994">
        <v>57</v>
      </c>
      <c r="E994" t="s">
        <v>21</v>
      </c>
      <c r="F994">
        <v>2</v>
      </c>
      <c r="G994">
        <v>30</v>
      </c>
      <c r="H994">
        <v>60</v>
      </c>
      <c r="I994" t="s">
        <v>42</v>
      </c>
      <c r="J994" t="s">
        <v>19</v>
      </c>
    </row>
    <row r="995" spans="1:10" x14ac:dyDescent="0.25">
      <c r="A995" s="1">
        <v>44963</v>
      </c>
      <c r="B995" t="s">
        <v>1026</v>
      </c>
      <c r="C995" t="s">
        <v>16</v>
      </c>
      <c r="D995">
        <v>48</v>
      </c>
      <c r="E995" t="s">
        <v>21</v>
      </c>
      <c r="F995">
        <v>3</v>
      </c>
      <c r="G995">
        <v>50</v>
      </c>
      <c r="H995">
        <v>150</v>
      </c>
      <c r="I995" t="s">
        <v>18</v>
      </c>
      <c r="J995" t="s">
        <v>19</v>
      </c>
    </row>
    <row r="996" spans="1:10" x14ac:dyDescent="0.25">
      <c r="A996" s="1">
        <v>45278</v>
      </c>
      <c r="B996" t="s">
        <v>1027</v>
      </c>
      <c r="C996" t="s">
        <v>16</v>
      </c>
      <c r="D996">
        <v>51</v>
      </c>
      <c r="E996" t="s">
        <v>12</v>
      </c>
      <c r="F996">
        <v>2</v>
      </c>
      <c r="G996">
        <v>500</v>
      </c>
      <c r="H996">
        <v>1000</v>
      </c>
      <c r="I996" t="s">
        <v>36</v>
      </c>
      <c r="J996" t="s">
        <v>19</v>
      </c>
    </row>
    <row r="997" spans="1:10" x14ac:dyDescent="0.25">
      <c r="A997" s="1">
        <v>45046</v>
      </c>
      <c r="B997" t="s">
        <v>1028</v>
      </c>
      <c r="C997" t="s">
        <v>16</v>
      </c>
      <c r="D997">
        <v>41</v>
      </c>
      <c r="E997" t="s">
        <v>17</v>
      </c>
      <c r="F997">
        <v>1</v>
      </c>
      <c r="G997">
        <v>30</v>
      </c>
      <c r="H997">
        <v>30</v>
      </c>
      <c r="I997" t="s">
        <v>29</v>
      </c>
      <c r="J997" t="s">
        <v>25</v>
      </c>
    </row>
    <row r="998" spans="1:10" x14ac:dyDescent="0.25">
      <c r="A998" s="1">
        <v>45062</v>
      </c>
      <c r="B998" t="s">
        <v>1029</v>
      </c>
      <c r="C998" t="s">
        <v>11</v>
      </c>
      <c r="D998">
        <v>62</v>
      </c>
      <c r="E998" t="s">
        <v>17</v>
      </c>
      <c r="F998">
        <v>1</v>
      </c>
      <c r="G998">
        <v>50</v>
      </c>
      <c r="H998">
        <v>50</v>
      </c>
      <c r="I998" t="s">
        <v>24</v>
      </c>
      <c r="J998" t="s">
        <v>30</v>
      </c>
    </row>
    <row r="999" spans="1:10" x14ac:dyDescent="0.25">
      <c r="A999" s="1">
        <v>45247</v>
      </c>
      <c r="B999" t="s">
        <v>1030</v>
      </c>
      <c r="C999" t="s">
        <v>11</v>
      </c>
      <c r="D999">
        <v>52</v>
      </c>
      <c r="E999" t="s">
        <v>12</v>
      </c>
      <c r="F999">
        <v>3</v>
      </c>
      <c r="G999">
        <v>30</v>
      </c>
      <c r="H999">
        <v>90</v>
      </c>
      <c r="I999" t="s">
        <v>13</v>
      </c>
      <c r="J999" t="s">
        <v>14</v>
      </c>
    </row>
    <row r="1000" spans="1:10" x14ac:dyDescent="0.25">
      <c r="A1000" s="1">
        <v>45228</v>
      </c>
      <c r="B1000" t="s">
        <v>1031</v>
      </c>
      <c r="C1000" t="s">
        <v>16</v>
      </c>
      <c r="D1000">
        <v>23</v>
      </c>
      <c r="E1000" t="s">
        <v>12</v>
      </c>
      <c r="F1000">
        <v>4</v>
      </c>
      <c r="G1000">
        <v>25</v>
      </c>
      <c r="H1000">
        <v>100</v>
      </c>
      <c r="I1000" t="s">
        <v>38</v>
      </c>
      <c r="J1000" t="s">
        <v>25</v>
      </c>
    </row>
    <row r="1001" spans="1:10" x14ac:dyDescent="0.25">
      <c r="A1001" s="1">
        <v>45265</v>
      </c>
      <c r="B1001" t="s">
        <v>1032</v>
      </c>
      <c r="C1001" t="s">
        <v>16</v>
      </c>
      <c r="D1001">
        <v>36</v>
      </c>
      <c r="E1001" t="s">
        <v>21</v>
      </c>
      <c r="F1001">
        <v>3</v>
      </c>
      <c r="G1001">
        <v>50</v>
      </c>
      <c r="H1001">
        <v>150</v>
      </c>
      <c r="I1001" t="s">
        <v>36</v>
      </c>
      <c r="J1001" t="s">
        <v>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3D1D2-5C47-4F46-88A9-B99296F29C75}">
  <sheetPr>
    <pageSetUpPr autoPageBreaks="0"/>
  </sheetPr>
  <dimension ref="A1:T1"/>
  <sheetViews>
    <sheetView showGridLines="0" showRowColHeaders="0" zoomScaleNormal="100" workbookViewId="0">
      <selection activeCell="J4" sqref="A1:XFD1048576"/>
    </sheetView>
  </sheetViews>
  <sheetFormatPr defaultRowHeight="15" x14ac:dyDescent="0.25"/>
  <sheetData>
    <row r="1" spans="1:20" s="2" customFormat="1" ht="26.25" customHeight="1" x14ac:dyDescent="0.25">
      <c r="A1" s="11" t="s">
        <v>1046</v>
      </c>
      <c r="B1" s="11"/>
      <c r="C1" s="11"/>
      <c r="D1" s="11"/>
      <c r="E1" s="11"/>
      <c r="F1" s="11"/>
      <c r="G1" s="11"/>
      <c r="H1" s="11"/>
      <c r="I1" s="11"/>
      <c r="J1" s="11"/>
      <c r="K1" s="11"/>
      <c r="L1" s="11"/>
      <c r="M1" s="11"/>
      <c r="N1" s="11"/>
      <c r="O1" s="11"/>
      <c r="P1" s="11"/>
      <c r="Q1" s="11"/>
      <c r="R1" s="11"/>
      <c r="S1" s="8"/>
      <c r="T1" s="8"/>
    </row>
  </sheetData>
  <sheetProtection sheet="1" objects="1"/>
  <mergeCells count="1">
    <mergeCell ref="A1:R1"/>
  </mergeCells>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A74B6-6B04-45B1-BE75-CF84E6B022C0}">
  <dimension ref="A1:S50"/>
  <sheetViews>
    <sheetView topLeftCell="A4" workbookViewId="0">
      <selection activeCell="H10" sqref="H10"/>
    </sheetView>
  </sheetViews>
  <sheetFormatPr defaultRowHeight="15" x14ac:dyDescent="0.25"/>
  <cols>
    <col min="2" max="2" width="23.140625" customWidth="1"/>
    <col min="4" max="4" width="14.28515625" bestFit="1" customWidth="1"/>
    <col min="6" max="6" width="14.85546875" customWidth="1"/>
  </cols>
  <sheetData>
    <row r="1" spans="2:19" s="2" customFormat="1" ht="27.75" customHeight="1" x14ac:dyDescent="0.25">
      <c r="B1" s="12" t="s">
        <v>1034</v>
      </c>
      <c r="C1" s="13"/>
      <c r="D1" s="13"/>
      <c r="E1" s="13"/>
      <c r="F1" s="13"/>
      <c r="G1" s="13"/>
      <c r="H1" s="13"/>
      <c r="I1" s="13"/>
      <c r="J1" s="13"/>
      <c r="K1" s="13"/>
      <c r="L1" s="13"/>
      <c r="M1" s="13"/>
      <c r="N1" s="13"/>
      <c r="O1" s="13"/>
      <c r="P1" s="13"/>
      <c r="Q1" s="13"/>
      <c r="R1" s="13"/>
      <c r="S1" s="13"/>
    </row>
    <row r="3" spans="2:19" ht="21" x14ac:dyDescent="0.35">
      <c r="B3" s="3" t="s">
        <v>1036</v>
      </c>
      <c r="C3" s="3"/>
      <c r="D3" s="16">
        <f>SUM(Cleaned_sales!H2:H1001)</f>
        <v>456000</v>
      </c>
      <c r="F3" s="4"/>
      <c r="J3" s="4" t="s">
        <v>1041</v>
      </c>
      <c r="N3" s="4" t="s">
        <v>1042</v>
      </c>
    </row>
    <row r="4" spans="2:19" ht="18.75" x14ac:dyDescent="0.3">
      <c r="B4" s="3" t="s">
        <v>1037</v>
      </c>
      <c r="C4" s="3"/>
      <c r="D4" s="17">
        <f>SUM(Table1[quantity])</f>
        <v>2514</v>
      </c>
      <c r="H4" s="3" t="str" cm="1">
        <f t="array" ref="H4:H5">_xlfn.UNIQUE(Table1[gender])</f>
        <v>Male</v>
      </c>
      <c r="I4" s="3">
        <f>SUMIF(Table1[gender],"Male",Table1[total_amount])</f>
        <v>223160</v>
      </c>
      <c r="L4" s="5" cm="1">
        <f t="array" ref="L4:L50">_xlfn._xlws.SORT(_xlfn.UNIQUE(Table1[age]),1)</f>
        <v>18</v>
      </c>
      <c r="M4" s="5">
        <f>SUMIF(Table1[age],18,Table1[total_amount])</f>
        <v>11215</v>
      </c>
    </row>
    <row r="5" spans="2:19" ht="18.75" x14ac:dyDescent="0.3">
      <c r="B5" s="3" t="s">
        <v>1038</v>
      </c>
      <c r="C5" s="3"/>
      <c r="D5" s="18">
        <f>D3/D6</f>
        <v>456</v>
      </c>
      <c r="H5" s="3" t="str">
        <v>Female</v>
      </c>
      <c r="I5" s="3">
        <f>SUMIF(Table1[gender],"Female",Table1[total_amount])</f>
        <v>232840</v>
      </c>
      <c r="L5" s="5">
        <v>19</v>
      </c>
      <c r="M5" s="5">
        <f>SUMIF(Table1[age],19,Table1[total_amount])</f>
        <v>14870</v>
      </c>
    </row>
    <row r="6" spans="2:19" ht="18.75" x14ac:dyDescent="0.3">
      <c r="B6" s="3" t="s">
        <v>1052</v>
      </c>
      <c r="C6" s="3"/>
      <c r="D6" s="3">
        <f>COUNT(Table1[quantity])</f>
        <v>1000</v>
      </c>
      <c r="L6" s="5">
        <v>20</v>
      </c>
      <c r="M6" s="5">
        <f>SUMIF(Table1[age],20,Table1[total_amount])</f>
        <v>8645</v>
      </c>
    </row>
    <row r="7" spans="2:19" ht="18.75" x14ac:dyDescent="0.3">
      <c r="B7" s="3" t="s">
        <v>1040</v>
      </c>
      <c r="C7" s="3"/>
      <c r="D7" s="3">
        <f>MIN(Table1[total_amount])</f>
        <v>25</v>
      </c>
      <c r="L7">
        <v>21</v>
      </c>
      <c r="N7" s="5"/>
      <c r="O7" s="5">
        <f>SUMIF(Table1[age],21,Table1[total_amount])</f>
        <v>12585</v>
      </c>
    </row>
    <row r="8" spans="2:19" ht="18.75" x14ac:dyDescent="0.3">
      <c r="B8" s="3" t="s">
        <v>1039</v>
      </c>
      <c r="C8" s="3"/>
      <c r="D8" s="3">
        <f>MAX(Table1[total_amount])</f>
        <v>2000</v>
      </c>
      <c r="L8">
        <v>22</v>
      </c>
      <c r="N8" s="5"/>
      <c r="O8" s="5">
        <f>SUMIF(Table1[age],22,Table1[total_amount])</f>
        <v>13700</v>
      </c>
    </row>
    <row r="9" spans="2:19" ht="18.75" x14ac:dyDescent="0.3">
      <c r="L9">
        <v>23</v>
      </c>
      <c r="N9" s="5"/>
      <c r="O9" s="5">
        <f>SUMIF(Table1[age],23,Table1[total_amount])</f>
        <v>8220</v>
      </c>
    </row>
    <row r="10" spans="2:19" ht="18.75" x14ac:dyDescent="0.3">
      <c r="L10">
        <v>24</v>
      </c>
      <c r="N10" s="5"/>
      <c r="O10" s="5">
        <f>SUMIF(Table1[age],24,Table1[total_amount])</f>
        <v>5415</v>
      </c>
    </row>
    <row r="11" spans="2:19" ht="18.75" x14ac:dyDescent="0.3">
      <c r="L11">
        <v>25</v>
      </c>
      <c r="N11" s="5"/>
      <c r="O11" s="5">
        <f>SUMIF(Table1[age],25,Table1[total_amount])</f>
        <v>9900</v>
      </c>
    </row>
    <row r="12" spans="2:19" ht="18.75" x14ac:dyDescent="0.3">
      <c r="L12">
        <v>26</v>
      </c>
      <c r="N12" s="5"/>
      <c r="O12" s="5">
        <f>SUMIF(Table1[age],26,Table1[total_amount])</f>
        <v>13980</v>
      </c>
    </row>
    <row r="13" spans="2:19" ht="18.75" x14ac:dyDescent="0.3">
      <c r="L13">
        <v>27</v>
      </c>
      <c r="N13" s="5"/>
      <c r="O13" s="5">
        <f>SUMIF(Table1[age],27,Table1[total_amount])</f>
        <v>9385</v>
      </c>
    </row>
    <row r="14" spans="2:19" ht="18.75" x14ac:dyDescent="0.3">
      <c r="L14">
        <v>28</v>
      </c>
      <c r="N14" s="5"/>
      <c r="O14" s="5">
        <f>SUMIF(Table1[age],28,Table1[total_amount])</f>
        <v>8670</v>
      </c>
    </row>
    <row r="15" spans="2:19" ht="18.75" x14ac:dyDescent="0.3">
      <c r="L15">
        <v>29</v>
      </c>
      <c r="N15" s="5"/>
      <c r="O15" s="5">
        <f>SUMIF(Table1[age],29,Table1[total_amount])</f>
        <v>6570</v>
      </c>
    </row>
    <row r="16" spans="2:19" ht="18.75" x14ac:dyDescent="0.3">
      <c r="L16">
        <v>30</v>
      </c>
      <c r="N16" s="5"/>
      <c r="O16" s="5">
        <f>SUMIF(Table1[age],30,Table1[total_amount])</f>
        <v>9790</v>
      </c>
    </row>
    <row r="17" spans="1:15" ht="18.75" x14ac:dyDescent="0.3">
      <c r="L17">
        <v>31</v>
      </c>
      <c r="N17" s="5"/>
      <c r="O17" s="5">
        <f>SUMIF(Table1[age],31,Table1[total_amount])</f>
        <v>10220</v>
      </c>
    </row>
    <row r="18" spans="1:15" ht="18.75" x14ac:dyDescent="0.3">
      <c r="L18">
        <v>32</v>
      </c>
      <c r="N18" s="5"/>
      <c r="O18" s="5">
        <f>SUMIF(Table1[age],33,Table1[total_amount])</f>
        <v>6240</v>
      </c>
    </row>
    <row r="19" spans="1:15" ht="18.75" x14ac:dyDescent="0.3">
      <c r="L19">
        <v>33</v>
      </c>
      <c r="N19" s="5"/>
      <c r="O19" s="5">
        <f>SUMIF(Table1[age],33,Table1[total_amount])</f>
        <v>6240</v>
      </c>
    </row>
    <row r="20" spans="1:15" ht="18.75" x14ac:dyDescent="0.3">
      <c r="L20">
        <v>34</v>
      </c>
      <c r="N20" s="5"/>
      <c r="O20" s="5">
        <f>SUMIF(Table1[age],34,Table1[total_amount])</f>
        <v>16785</v>
      </c>
    </row>
    <row r="21" spans="1:15" ht="18.75" x14ac:dyDescent="0.3">
      <c r="A21" t="s">
        <v>1035</v>
      </c>
      <c r="L21">
        <v>35</v>
      </c>
      <c r="N21" s="5"/>
      <c r="O21" s="5">
        <f>SUMIF(Table1[age],35,Table1[total_amount])</f>
        <v>11290</v>
      </c>
    </row>
    <row r="22" spans="1:15" ht="18.75" x14ac:dyDescent="0.3">
      <c r="L22">
        <v>36</v>
      </c>
      <c r="N22" s="5"/>
      <c r="O22" s="5">
        <f>SUMIF(Table1[age],36,Table1[total_amount])</f>
        <v>9105</v>
      </c>
    </row>
    <row r="23" spans="1:15" ht="18.75" x14ac:dyDescent="0.3">
      <c r="L23">
        <v>37</v>
      </c>
      <c r="N23" s="5"/>
      <c r="O23" s="5">
        <f>SUMIF(Table1[age],37,Table1[total_amount])</f>
        <v>11650</v>
      </c>
    </row>
    <row r="24" spans="1:15" ht="18.75" x14ac:dyDescent="0.3">
      <c r="L24">
        <v>38</v>
      </c>
      <c r="N24" s="5"/>
      <c r="O24" s="5">
        <f>SUMIF(Table1[age],38,Table1[total_amount])</f>
        <v>11100</v>
      </c>
    </row>
    <row r="25" spans="1:15" ht="18.75" x14ac:dyDescent="0.3">
      <c r="L25">
        <v>39</v>
      </c>
      <c r="N25" s="5"/>
      <c r="O25" s="5">
        <f>SUMIF(Table1[age],39,Table1[total_amount])</f>
        <v>4595</v>
      </c>
    </row>
    <row r="26" spans="1:15" ht="18.75" x14ac:dyDescent="0.3">
      <c r="L26">
        <v>40</v>
      </c>
      <c r="N26" s="5"/>
      <c r="O26" s="5">
        <f>SUMIF(Table1[age],40,Table1[total_amount])</f>
        <v>9415</v>
      </c>
    </row>
    <row r="27" spans="1:15" ht="18.75" x14ac:dyDescent="0.3">
      <c r="L27">
        <v>41</v>
      </c>
      <c r="N27" s="5"/>
      <c r="O27" s="5">
        <f>SUMIF(Table1[age],41,Table1[total_amount])</f>
        <v>5650</v>
      </c>
    </row>
    <row r="28" spans="1:15" ht="18.75" x14ac:dyDescent="0.3">
      <c r="L28">
        <v>42</v>
      </c>
      <c r="N28" s="5"/>
      <c r="O28" s="5">
        <f>SUMIF(Table1[age],42,Table1[total_amount])</f>
        <v>8500</v>
      </c>
    </row>
    <row r="29" spans="1:15" ht="18.75" x14ac:dyDescent="0.3">
      <c r="L29">
        <v>43</v>
      </c>
      <c r="N29" s="5"/>
      <c r="O29" s="5">
        <f>SUMIF(Table1[age],43,Table1[total_amount])</f>
        <v>17970</v>
      </c>
    </row>
    <row r="30" spans="1:15" ht="18.75" x14ac:dyDescent="0.3">
      <c r="L30">
        <v>44</v>
      </c>
      <c r="N30" s="5"/>
      <c r="O30" s="5">
        <f>SUMIF(Table1[age],44,Table1[total_amount])</f>
        <v>7560</v>
      </c>
    </row>
    <row r="31" spans="1:15" ht="18.75" x14ac:dyDescent="0.3">
      <c r="L31">
        <v>45</v>
      </c>
      <c r="N31" s="5"/>
      <c r="O31" s="5">
        <f>SUMIF(Table1[age],45,Table1[total_amount])</f>
        <v>6325</v>
      </c>
    </row>
    <row r="32" spans="1:15" ht="18.75" x14ac:dyDescent="0.3">
      <c r="L32">
        <v>46</v>
      </c>
      <c r="N32" s="5"/>
      <c r="O32" s="5">
        <f>SUMIF(Table1[age],46,Table1[total_amount])</f>
        <v>13090</v>
      </c>
    </row>
    <row r="33" spans="12:15" ht="18.75" x14ac:dyDescent="0.3">
      <c r="L33">
        <v>47</v>
      </c>
      <c r="N33" s="5"/>
      <c r="O33" s="5">
        <f>SUMIF(Table1[age],47,Table1[total_amount])</f>
        <v>12505</v>
      </c>
    </row>
    <row r="34" spans="12:15" ht="18.75" x14ac:dyDescent="0.3">
      <c r="L34">
        <v>48</v>
      </c>
      <c r="N34" s="5"/>
      <c r="O34" s="5">
        <f>SUMIF(Table1[age],48,Table1[total_amount])</f>
        <v>7240</v>
      </c>
    </row>
    <row r="35" spans="12:15" ht="18.75" x14ac:dyDescent="0.3">
      <c r="L35">
        <v>49</v>
      </c>
      <c r="N35" s="5"/>
      <c r="O35" s="5">
        <f>SUMIF(Table1[age],49,Table1[total_amount])</f>
        <v>5110</v>
      </c>
    </row>
    <row r="36" spans="12:15" ht="18.75" x14ac:dyDescent="0.3">
      <c r="L36">
        <v>50</v>
      </c>
      <c r="N36" s="5"/>
      <c r="O36" s="5">
        <f>SUMIF(Table1[age],50,Table1[total_amount])</f>
        <v>9845</v>
      </c>
    </row>
    <row r="37" spans="12:15" ht="18.75" x14ac:dyDescent="0.3">
      <c r="L37">
        <v>51</v>
      </c>
      <c r="N37" s="5"/>
      <c r="O37" s="5">
        <f>SUMIF(Table1[age],51,Table1[total_amount])</f>
        <v>16065</v>
      </c>
    </row>
    <row r="38" spans="12:15" ht="18.75" x14ac:dyDescent="0.3">
      <c r="L38">
        <v>52</v>
      </c>
      <c r="N38" s="5"/>
      <c r="O38" s="5">
        <f>SUMIF(Table1[age],52,Table1[total_amount])</f>
        <v>7040</v>
      </c>
    </row>
    <row r="39" spans="12:15" ht="18.75" x14ac:dyDescent="0.3">
      <c r="L39">
        <v>53</v>
      </c>
      <c r="N39" s="5"/>
      <c r="O39" s="5">
        <f>SUMIF(Table1[age],53,Table1[total_amount])</f>
        <v>9510</v>
      </c>
    </row>
    <row r="40" spans="12:15" ht="18.75" x14ac:dyDescent="0.3">
      <c r="L40">
        <v>54</v>
      </c>
      <c r="N40" s="5"/>
      <c r="O40" s="5">
        <f>SUMIF(Table1[age],54,Table1[total_amount])</f>
        <v>10505</v>
      </c>
    </row>
    <row r="41" spans="12:15" ht="18.75" x14ac:dyDescent="0.3">
      <c r="L41">
        <v>55</v>
      </c>
      <c r="N41" s="5"/>
      <c r="O41" s="5">
        <f>SUMIF(Table1[age],55,Table1[total_amount])</f>
        <v>9780</v>
      </c>
    </row>
    <row r="42" spans="12:15" ht="18.75" x14ac:dyDescent="0.3">
      <c r="L42">
        <v>56</v>
      </c>
      <c r="N42" s="5"/>
      <c r="O42" s="5">
        <f>SUMIF(Table1[age],56,Table1[total_amount])</f>
        <v>9440</v>
      </c>
    </row>
    <row r="43" spans="12:15" ht="18.75" x14ac:dyDescent="0.3">
      <c r="L43">
        <v>57</v>
      </c>
      <c r="N43" s="5"/>
      <c r="O43" s="5">
        <f>SUMIF(Table1[age],57,Table1[total_amount])</f>
        <v>9290</v>
      </c>
    </row>
    <row r="44" spans="12:15" ht="18.75" x14ac:dyDescent="0.3">
      <c r="L44">
        <v>58</v>
      </c>
      <c r="N44" s="5"/>
      <c r="O44" s="5">
        <f>SUMIF(Table1[age],58,Table1[total_amount])</f>
        <v>7395</v>
      </c>
    </row>
    <row r="45" spans="12:15" ht="18.75" x14ac:dyDescent="0.3">
      <c r="L45">
        <v>59</v>
      </c>
      <c r="N45" s="5"/>
      <c r="O45" s="5">
        <f>SUMIF(Table1[age],59,Table1[total_amount])</f>
        <v>9470</v>
      </c>
    </row>
    <row r="46" spans="12:15" ht="18.75" x14ac:dyDescent="0.3">
      <c r="L46">
        <v>60</v>
      </c>
      <c r="N46" s="5"/>
      <c r="O46" s="5">
        <f>SUMIF(Table1[age],60,Table1[total_amount])</f>
        <v>11590</v>
      </c>
    </row>
    <row r="47" spans="12:15" ht="18.75" x14ac:dyDescent="0.3">
      <c r="L47">
        <v>61</v>
      </c>
      <c r="N47" s="5"/>
      <c r="O47" s="5">
        <f>SUMIF(Table1[age],61,Table1[total_amount])</f>
        <v>6730</v>
      </c>
    </row>
    <row r="48" spans="12:15" ht="18.75" x14ac:dyDescent="0.3">
      <c r="L48">
        <v>62</v>
      </c>
      <c r="N48" s="5"/>
      <c r="O48" s="5">
        <f>SUMIF(Table1[age],62,Table1[total_amount])</f>
        <v>8120</v>
      </c>
    </row>
    <row r="49" spans="12:15" ht="18.75" x14ac:dyDescent="0.3">
      <c r="L49">
        <v>63</v>
      </c>
      <c r="N49" s="5"/>
      <c r="O49" s="5">
        <f>SUMIF(Table1[age],63,Table1[total_amount])</f>
        <v>9250</v>
      </c>
    </row>
    <row r="50" spans="12:15" ht="18.75" x14ac:dyDescent="0.3">
      <c r="L50">
        <v>64</v>
      </c>
      <c r="N50" s="5"/>
      <c r="O50" s="5">
        <f>SUMIF(Table1[age],64,Table1[total_amount])</f>
        <v>9125</v>
      </c>
    </row>
  </sheetData>
  <mergeCells count="1">
    <mergeCell ref="B1:S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Revenue by month</vt:lpstr>
      <vt:lpstr>Units sold by category</vt:lpstr>
      <vt:lpstr>Sheet11</vt:lpstr>
      <vt:lpstr>Revenue by gender</vt:lpstr>
      <vt:lpstr>Sheet15</vt:lpstr>
      <vt:lpstr>Sheet1</vt:lpstr>
      <vt:lpstr>Cleaned_sales</vt:lpstr>
      <vt:lpstr>Dashboard</vt:lpstr>
      <vt:lpstr>Metrices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Komal Khope</cp:lastModifiedBy>
  <dcterms:created xsi:type="dcterms:W3CDTF">2026-10-28T13:26:59Z</dcterms:created>
  <dcterms:modified xsi:type="dcterms:W3CDTF">2026-10-28T23:13:38Z</dcterms:modified>
</cp:coreProperties>
</file>